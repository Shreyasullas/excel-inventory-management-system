
<file path=[Content_Types].xml><?xml version="1.0" encoding="utf-8"?>
<Types xmlns="http://schemas.openxmlformats.org/package/2006/content-types">
  <Default Extension="bin" ContentType="application/vnd.ms-office.activeX"/>
  <Default Extension="emf" ContentType="image/x-emf"/>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2.xml" ContentType="application/vnd.ms-office.activeX+xml"/>
  <Override PartName="/xl/activeX/activeX3.xml" ContentType="application/vnd.ms-office.activeX+xml"/>
  <Override PartName="/xl/activeX/activeX4.xml" ContentType="application/vnd.ms-office.activeX+xml"/>
  <Override PartName="/xl/activeX/activeX5.xml" ContentType="application/vnd.ms-office.activeX+xml"/>
  <Override PartName="/xl/drawings/drawing2.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printerSettings/printerSettings1.bin" ContentType="application/vnd.openxmlformats-officedocument.spreadsheetml.printerSettings"/>
  <Override PartName="/xl/drawings/drawing3.xml" ContentType="application/vnd.openxmlformats-officedocument.drawing+xml"/>
  <Override PartName="/xl/slicers/slicer1.xml" ContentType="application/vnd.ms-excel.slicer+xml"/>
  <Override PartName="/xl/charts/chart5.xml" ContentType="application/vnd.openxmlformats-officedocument.drawingml.chart+xml"/>
  <Override PartName="/xl/charts/style1.xml" ContentType="application/vnd.ms-office.chartstyle+xml"/>
  <Override PartName="/xl/charts/colors1.xml" ContentType="application/vnd.ms-office.chartcolorstyle+xml"/>
  <Override PartName="/xl/charts/chart6.xml" ContentType="application/vnd.openxmlformats-officedocument.drawingml.chart+xml"/>
  <Override PartName="/xl/charts/style2.xml" ContentType="application/vnd.ms-office.chartstyle+xml"/>
  <Override PartName="/xl/charts/colors2.xml" ContentType="application/vnd.ms-office.chartcolorstyle+xml"/>
  <Override PartName="/xl/charts/chart7.xml" ContentType="application/vnd.openxmlformats-officedocument.drawingml.chart+xml"/>
  <Override PartName="/xl/charts/style3.xml" ContentType="application/vnd.ms-office.chartstyle+xml"/>
  <Override PartName="/xl/charts/colors3.xml" ContentType="application/vnd.ms-office.chartcolorstyle+xml"/>
  <Override PartName="/xl/charts/chart8.xml" ContentType="application/vnd.openxmlformats-officedocument.drawingml.chart+xml"/>
  <Override PartName="/xl/charts/style4.xml" ContentType="application/vnd.ms-office.chartstyle+xml"/>
  <Override PartName="/xl/charts/colors4.xml" ContentType="application/vnd.ms-office.chartcolorstyle+xml"/>
  <Override PartName="/xl/charts/chart9.xml" ContentType="application/vnd.openxmlformats-officedocument.drawingml.chart+xml"/>
  <Override PartName="/xl/charts/style5.xml" ContentType="application/vnd.ms-office.chartstyle+xml"/>
  <Override PartName="/xl/charts/colors5.xml" ContentType="application/vnd.ms-office.chartcolorsty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drawings/drawing4.xml" ContentType="application/vnd.openxmlformats-officedocument.drawing+xml"/>
  <Override PartName="/xl/slicers/slicer2.xml" ContentType="application/vnd.ms-excel.slicer+xml"/>
  <Override PartName="/xl/charts/chart10.xml" ContentType="application/vnd.openxmlformats-officedocument.drawingml.chart+xml"/>
  <Override PartName="/xl/charts/style6.xml" ContentType="application/vnd.ms-office.chartstyle+xml"/>
  <Override PartName="/xl/charts/colors6.xml" ContentType="application/vnd.ms-office.chartcolorstyle+xml"/>
  <Override PartName="/xl/charts/chart11.xml" ContentType="application/vnd.openxmlformats-officedocument.drawingml.chart+xml"/>
  <Override PartName="/xl/charts/style7.xml" ContentType="application/vnd.ms-office.chartstyle+xml"/>
  <Override PartName="/xl/charts/colors7.xml" ContentType="application/vnd.ms-office.chartcolorstyle+xml"/>
  <Override PartName="/xl/charts/chart12.xml" ContentType="application/vnd.openxmlformats-officedocument.drawingml.chart+xml"/>
  <Override PartName="/xl/charts/style8.xml" ContentType="application/vnd.ms-office.chartstyle+xml"/>
  <Override PartName="/xl/charts/colors8.xml" ContentType="application/vnd.ms-office.chartcolorstyle+xml"/>
  <Override PartName="/xl/charts/chart13.xml" ContentType="application/vnd.openxmlformats-officedocument.drawingml.chart+xml"/>
  <Override PartName="/xl/charts/style9.xml" ContentType="application/vnd.ms-office.chartstyle+xml"/>
  <Override PartName="/xl/charts/colors9.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DD97A8EA-9A9A-E61F-A557-7D5A7D7259CE}"/>
  <workbookPr codeName="ThisWorkbook" defaultThemeVersion="166925"/>
  <mc:AlternateContent xmlns:mc="http://schemas.openxmlformats.org/markup-compatibility/2006">
    <mc:Choice Requires="x15">
      <x15ac:absPath xmlns:x15ac="http://schemas.microsoft.com/office/spreadsheetml/2010/11/ac" url="https://d.docs.live.net/566f0ca8318c6572/Desktop/ISM/Excel/Excel_Macros/"/>
    </mc:Choice>
  </mc:AlternateContent>
  <xr:revisionPtr revIDLastSave="0" documentId="8_{D7A3CF7F-4689-4096-87CB-509885E94E13}" xr6:coauthVersionLast="47" xr6:coauthVersionMax="47" xr10:uidLastSave="{00000000-0000-0000-0000-000000000000}"/>
  <bookViews>
    <workbookView xWindow="-108" yWindow="-108" windowWidth="23256" windowHeight="13176" activeTab="1" xr2:uid="{3A2E2B6C-DA83-4D23-B851-BCF018EB6D09}"/>
  </bookViews>
  <sheets>
    <sheet name="Product_Master" sheetId="1" r:id="rId1"/>
    <sheet name="Stock_Transactions" sheetId="2" r:id="rId2"/>
    <sheet name="Inventory_Summary" sheetId="3" r:id="rId3"/>
    <sheet name="Low_Stock_Report" sheetId="4" r:id="rId4"/>
    <sheet name="Dashboard_Data" sheetId="9" state="veryHidden" r:id="rId5"/>
    <sheet name="Dashboard" sheetId="8" state="hidden" r:id="rId6"/>
    <sheet name="Inventory_Dashboard" sheetId="12" r:id="rId7"/>
    <sheet name="Analysis" sheetId="13" r:id="rId8"/>
    <sheet name="DashboardData" sheetId="11" state="hidden" r:id="rId9"/>
  </sheets>
  <definedNames>
    <definedName name="Slicer_Category">#N/A</definedName>
    <definedName name="Slicer_Category1">#N/A</definedName>
    <definedName name="Slicer_Day">#N/A</definedName>
    <definedName name="Slicer_low_stock_or_not">#N/A</definedName>
    <definedName name="Slicer_Month">#N/A</definedName>
    <definedName name="Slicer_Transaction_Type">#N/A</definedName>
    <definedName name="Slicer_Year">#N/A</definedName>
  </definedNames>
  <calcPr calcId="191029"/>
  <pivotCaches>
    <pivotCache cacheId="0" r:id="rId10"/>
    <pivotCache cacheId="2" r:id="rId11"/>
    <pivotCache cacheId="3" r:id="rId12"/>
    <pivotCache cacheId="4" r:id="rId13"/>
    <pivotCache cacheId="8" r:id="rId14"/>
  </pivotCaches>
  <fileRecoveryPr repairLoad="1"/>
  <extLst>
    <ext xmlns:x14="http://schemas.microsoft.com/office/spreadsheetml/2009/9/main" uri="{BBE1A952-AA13-448e-AADC-164F8A28A991}">
      <x14:slicerCaches>
        <x14:slicerCache r:id="rId15"/>
        <x14:slicerCache r:id="rId16"/>
        <x14:slicerCache r:id="rId17"/>
        <x14:slicerCache r:id="rId18"/>
        <x14:slicerCache r:id="rId19"/>
        <x14:slicerCache r:id="rId20"/>
        <x14:slicerCache r:id="rId21"/>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G85" i="1" l="1"/>
  <c r="G86" i="1"/>
  <c r="G87" i="1"/>
  <c r="G88" i="1"/>
  <c r="G89" i="1"/>
  <c r="G90" i="1"/>
  <c r="G91" i="1"/>
  <c r="G92" i="1"/>
  <c r="G93" i="1"/>
  <c r="G94" i="1"/>
  <c r="G95" i="1"/>
  <c r="G96" i="1"/>
  <c r="G97" i="1"/>
  <c r="G98" i="1"/>
  <c r="G99" i="1"/>
  <c r="G100" i="1"/>
  <c r="G101" i="1"/>
  <c r="G102" i="1"/>
  <c r="G103" i="1"/>
  <c r="G104" i="1"/>
  <c r="G105" i="1"/>
  <c r="G106" i="1"/>
  <c r="H34" i="2"/>
  <c r="I3" i="2"/>
  <c r="I4" i="2"/>
  <c r="I5" i="2"/>
  <c r="I6" i="2"/>
  <c r="I7" i="2"/>
  <c r="I8" i="2"/>
  <c r="I9" i="2"/>
  <c r="I10" i="2"/>
  <c r="I11" i="2"/>
  <c r="I12" i="2"/>
  <c r="I13" i="2"/>
  <c r="I14" i="2"/>
  <c r="I15" i="2"/>
  <c r="I16" i="2"/>
  <c r="I17" i="2"/>
  <c r="I18" i="2"/>
  <c r="I19" i="2"/>
  <c r="I20" i="2"/>
  <c r="I21" i="2"/>
  <c r="I22" i="2"/>
  <c r="I23" i="2"/>
  <c r="I24" i="2"/>
  <c r="I25" i="2"/>
  <c r="I26" i="2"/>
  <c r="I27" i="2"/>
  <c r="I28" i="2"/>
  <c r="I29" i="2"/>
  <c r="I30" i="2"/>
  <c r="I31" i="2"/>
  <c r="I32" i="2"/>
  <c r="I33" i="2"/>
  <c r="I34" i="2"/>
  <c r="I35" i="2"/>
  <c r="I36" i="2"/>
  <c r="I37" i="2"/>
  <c r="I38" i="2"/>
  <c r="I39" i="2"/>
  <c r="I40" i="2"/>
  <c r="I41" i="2"/>
  <c r="I2" i="2"/>
  <c r="H3" i="2"/>
  <c r="H4" i="2"/>
  <c r="H5" i="2"/>
  <c r="H6" i="2"/>
  <c r="H7" i="2"/>
  <c r="H8" i="2"/>
  <c r="H9" i="2"/>
  <c r="H10" i="2"/>
  <c r="H11" i="2"/>
  <c r="H12" i="2"/>
  <c r="H13" i="2"/>
  <c r="H14" i="2"/>
  <c r="H15" i="2"/>
  <c r="H16" i="2"/>
  <c r="H17" i="2"/>
  <c r="H18" i="2"/>
  <c r="H19" i="2"/>
  <c r="H20" i="2"/>
  <c r="H21" i="2"/>
  <c r="H22" i="2"/>
  <c r="H23" i="2"/>
  <c r="H24" i="2"/>
  <c r="H25" i="2"/>
  <c r="H26" i="2"/>
  <c r="H27" i="2"/>
  <c r="H28" i="2"/>
  <c r="H29" i="2"/>
  <c r="H30" i="2"/>
  <c r="H31" i="2"/>
  <c r="H32" i="2"/>
  <c r="H33" i="2"/>
  <c r="H35" i="2"/>
  <c r="H36" i="2"/>
  <c r="H37" i="2"/>
  <c r="H38" i="2"/>
  <c r="H39" i="2"/>
  <c r="H40" i="2"/>
  <c r="H41" i="2"/>
  <c r="H2" i="2"/>
  <c r="G2" i="2"/>
  <c r="G28" i="2"/>
  <c r="G29" i="2"/>
  <c r="G30" i="2"/>
  <c r="G31" i="2"/>
  <c r="G32" i="2"/>
  <c r="G33" i="2"/>
  <c r="G34" i="2"/>
  <c r="G35" i="2"/>
  <c r="G36" i="2"/>
  <c r="G37" i="2"/>
  <c r="G38" i="2"/>
  <c r="G39" i="2"/>
  <c r="G40" i="2"/>
  <c r="G41" i="2"/>
  <c r="G25" i="2"/>
  <c r="G26" i="2"/>
  <c r="G27" i="2"/>
  <c r="G3" i="2"/>
  <c r="G4" i="2"/>
  <c r="G5" i="2"/>
  <c r="G6" i="2"/>
  <c r="G7" i="2"/>
  <c r="G8" i="2"/>
  <c r="G9" i="2"/>
  <c r="G10" i="2"/>
  <c r="G11" i="2"/>
  <c r="G12" i="2"/>
  <c r="G13" i="2"/>
  <c r="G14" i="2"/>
  <c r="G15" i="2"/>
  <c r="G16" i="2"/>
  <c r="G17" i="2"/>
  <c r="G18" i="2"/>
  <c r="G19" i="2"/>
  <c r="G20" i="2"/>
  <c r="G21" i="2"/>
  <c r="G22" i="2"/>
  <c r="G23" i="2"/>
  <c r="G24" i="2"/>
  <c r="G143" i="1"/>
  <c r="G142" i="1"/>
  <c r="G141" i="1"/>
  <c r="G140" i="1"/>
  <c r="G139" i="1"/>
  <c r="G138" i="1"/>
  <c r="G137" i="1"/>
  <c r="G136" i="1"/>
  <c r="G135" i="1"/>
  <c r="G134" i="1"/>
  <c r="G133" i="1"/>
  <c r="G132" i="1"/>
  <c r="G131" i="1"/>
  <c r="G130" i="1"/>
  <c r="G129" i="1"/>
  <c r="G128" i="1"/>
  <c r="G127" i="1"/>
  <c r="G126" i="1"/>
  <c r="G125" i="1"/>
  <c r="G124" i="1"/>
  <c r="G123" i="1"/>
  <c r="G122" i="1"/>
  <c r="G121" i="1"/>
  <c r="G120" i="1"/>
  <c r="G119" i="1"/>
  <c r="G118" i="1"/>
  <c r="G117" i="1"/>
  <c r="G116" i="1"/>
  <c r="G115" i="1"/>
  <c r="G114" i="1"/>
  <c r="G113" i="1"/>
  <c r="G112" i="1"/>
  <c r="G111" i="1"/>
  <c r="G110" i="1"/>
  <c r="G109" i="1"/>
  <c r="G108" i="1"/>
  <c r="G107" i="1"/>
  <c r="J4" i="13"/>
</calcChain>
</file>

<file path=xl/sharedStrings.xml><?xml version="1.0" encoding="utf-8"?>
<sst xmlns="http://schemas.openxmlformats.org/spreadsheetml/2006/main" count="923" uniqueCount="232">
  <si>
    <t>Product_ID</t>
  </si>
  <si>
    <t>Product_Name</t>
  </si>
  <si>
    <t>Category</t>
  </si>
  <si>
    <t>Unit_Price</t>
  </si>
  <si>
    <t>Reorder_Level</t>
  </si>
  <si>
    <t>Current_Stock</t>
  </si>
  <si>
    <t>Date</t>
  </si>
  <si>
    <t>Transaction_Type</t>
  </si>
  <si>
    <t xml:space="preserve"> Quantity</t>
  </si>
  <si>
    <t>P001</t>
  </si>
  <si>
    <t>Mouse</t>
  </si>
  <si>
    <t>Electronics</t>
  </si>
  <si>
    <t>IN</t>
  </si>
  <si>
    <t>Stock_Value</t>
  </si>
  <si>
    <t>P002</t>
  </si>
  <si>
    <t>Pen</t>
  </si>
  <si>
    <t>Stationery</t>
  </si>
  <si>
    <t>OUT</t>
  </si>
  <si>
    <t>Product ID</t>
  </si>
  <si>
    <t>Product Name</t>
  </si>
  <si>
    <t>Stock</t>
  </si>
  <si>
    <t>Reorder Level</t>
  </si>
  <si>
    <t>Total Products</t>
  </si>
  <si>
    <t>Total Stock Quantity</t>
  </si>
  <si>
    <t>Total Stock Value</t>
  </si>
  <si>
    <t>P003</t>
  </si>
  <si>
    <t>Phone</t>
  </si>
  <si>
    <t>Wireless Mouse</t>
  </si>
  <si>
    <t>Keyboard</t>
  </si>
  <si>
    <t>USB Flash Drive</t>
  </si>
  <si>
    <t>P004</t>
  </si>
  <si>
    <t>External Hard Disk</t>
  </si>
  <si>
    <t>P005</t>
  </si>
  <si>
    <t>Bluetooth Speaker</t>
  </si>
  <si>
    <t>P006</t>
  </si>
  <si>
    <t>Webcam</t>
  </si>
  <si>
    <t>P007</t>
  </si>
  <si>
    <t>Laptop Charger</t>
  </si>
  <si>
    <t>P008</t>
  </si>
  <si>
    <t>HDMI Cable</t>
  </si>
  <si>
    <t>P009</t>
  </si>
  <si>
    <t>Power Bank</t>
  </si>
  <si>
    <t>P010</t>
  </si>
  <si>
    <t>WiFi Router</t>
  </si>
  <si>
    <t>P011</t>
  </si>
  <si>
    <t>Monitor</t>
  </si>
  <si>
    <t>P012</t>
  </si>
  <si>
    <t>Headphones</t>
  </si>
  <si>
    <t>P013</t>
  </si>
  <si>
    <t>Smart Watch</t>
  </si>
  <si>
    <t>P014</t>
  </si>
  <si>
    <t>Mobile Stand</t>
  </si>
  <si>
    <t>P015</t>
  </si>
  <si>
    <t>Extension Board</t>
  </si>
  <si>
    <t>P016</t>
  </si>
  <si>
    <t>Printer</t>
  </si>
  <si>
    <t>P017</t>
  </si>
  <si>
    <t>Scanner</t>
  </si>
  <si>
    <t>P018</t>
  </si>
  <si>
    <t>Graphics Tablet</t>
  </si>
  <si>
    <t>P019</t>
  </si>
  <si>
    <t>Router Antenna</t>
  </si>
  <si>
    <t>P020</t>
  </si>
  <si>
    <t>SSD Drive</t>
  </si>
  <si>
    <t>P021</t>
  </si>
  <si>
    <t>Rice Bag</t>
  </si>
  <si>
    <t>Grocery</t>
  </si>
  <si>
    <t>P022</t>
  </si>
  <si>
    <t>Wheat Flour</t>
  </si>
  <si>
    <t>P023</t>
  </si>
  <si>
    <t>Cooking Oil</t>
  </si>
  <si>
    <t>P024</t>
  </si>
  <si>
    <t>Sugar Pack</t>
  </si>
  <si>
    <t>P025</t>
  </si>
  <si>
    <t>Salt Packet</t>
  </si>
  <si>
    <t>P026</t>
  </si>
  <si>
    <t>Tea Powder</t>
  </si>
  <si>
    <t>P027</t>
  </si>
  <si>
    <t>Coffee Powder</t>
  </si>
  <si>
    <t>P028</t>
  </si>
  <si>
    <t>Milk Packet</t>
  </si>
  <si>
    <t>P029</t>
  </si>
  <si>
    <t>Pulses Pack</t>
  </si>
  <si>
    <t>P030</t>
  </si>
  <si>
    <t>Spice Box</t>
  </si>
  <si>
    <t>P031</t>
  </si>
  <si>
    <t>Soap Bar</t>
  </si>
  <si>
    <t>P032</t>
  </si>
  <si>
    <t>Shampoo Bottle</t>
  </si>
  <si>
    <t>P033</t>
  </si>
  <si>
    <t>Toothpaste</t>
  </si>
  <si>
    <t>P034</t>
  </si>
  <si>
    <t>Dish Wash Liquid</t>
  </si>
  <si>
    <t>P035</t>
  </si>
  <si>
    <t>Detergent Powder</t>
  </si>
  <si>
    <t>P036</t>
  </si>
  <si>
    <t>Biscuits Pack</t>
  </si>
  <si>
    <t>P037</t>
  </si>
  <si>
    <t>Instant Noodles</t>
  </si>
  <si>
    <t>P038</t>
  </si>
  <si>
    <t>Dry Fruits Pack</t>
  </si>
  <si>
    <t>P039</t>
  </si>
  <si>
    <t>Breakfast Cereal</t>
  </si>
  <si>
    <t>P040</t>
  </si>
  <si>
    <t>Water Bottle</t>
  </si>
  <si>
    <t>P041</t>
  </si>
  <si>
    <t>Ball Pen</t>
  </si>
  <si>
    <t>P042</t>
  </si>
  <si>
    <t>Notebook</t>
  </si>
  <si>
    <t>P043</t>
  </si>
  <si>
    <t>Pencil Box</t>
  </si>
  <si>
    <t>P044</t>
  </si>
  <si>
    <t>Eraser</t>
  </si>
  <si>
    <t>P045</t>
  </si>
  <si>
    <t>Sharpener</t>
  </si>
  <si>
    <t>P046</t>
  </si>
  <si>
    <t>Marker Pen</t>
  </si>
  <si>
    <t>P047</t>
  </si>
  <si>
    <t>Highlighter</t>
  </si>
  <si>
    <t>P048</t>
  </si>
  <si>
    <t>Stapler</t>
  </si>
  <si>
    <t>P049</t>
  </si>
  <si>
    <t>Paper Clips</t>
  </si>
  <si>
    <t>P050</t>
  </si>
  <si>
    <t>Sketch Pens</t>
  </si>
  <si>
    <t>P051</t>
  </si>
  <si>
    <t>White Board Marker</t>
  </si>
  <si>
    <t>P052</t>
  </si>
  <si>
    <t>Sticky Notes</t>
  </si>
  <si>
    <t>P053</t>
  </si>
  <si>
    <t>A4 Paper Bundle</t>
  </si>
  <si>
    <t>P054</t>
  </si>
  <si>
    <t>Calculator</t>
  </si>
  <si>
    <t>P055</t>
  </si>
  <si>
    <t>Geometry Box</t>
  </si>
  <si>
    <t>P056</t>
  </si>
  <si>
    <t>File Folder</t>
  </si>
  <si>
    <t>P057</t>
  </si>
  <si>
    <t>Exam Pad</t>
  </si>
  <si>
    <t>P058</t>
  </si>
  <si>
    <t>Glue Stick</t>
  </si>
  <si>
    <t>P059</t>
  </si>
  <si>
    <t>Correction Pen</t>
  </si>
  <si>
    <t>P060</t>
  </si>
  <si>
    <t>Ruler Scale</t>
  </si>
  <si>
    <t>P061</t>
  </si>
  <si>
    <t>Office Chair</t>
  </si>
  <si>
    <t>Furniture</t>
  </si>
  <si>
    <t>P062</t>
  </si>
  <si>
    <t>Study Table</t>
  </si>
  <si>
    <t>P063</t>
  </si>
  <si>
    <t>Bookshelf</t>
  </si>
  <si>
    <t>P064</t>
  </si>
  <si>
    <t>Wooden Stool</t>
  </si>
  <si>
    <t>P065</t>
  </si>
  <si>
    <t>Computer Desk</t>
  </si>
  <si>
    <t>P066</t>
  </si>
  <si>
    <t>Filing Cabinet</t>
  </si>
  <si>
    <t>P067</t>
  </si>
  <si>
    <t>Cupboard</t>
  </si>
  <si>
    <t>P068</t>
  </si>
  <si>
    <t>Conference Table</t>
  </si>
  <si>
    <t>P069</t>
  </si>
  <si>
    <t>Visitor Chair</t>
  </si>
  <si>
    <t>P070</t>
  </si>
  <si>
    <t>Drawer Unit</t>
  </si>
  <si>
    <t>P071</t>
  </si>
  <si>
    <t>Side Table</t>
  </si>
  <si>
    <t>P072</t>
  </si>
  <si>
    <t>Sofa Set</t>
  </si>
  <si>
    <t>P073</t>
  </si>
  <si>
    <t>Plastic Chair</t>
  </si>
  <si>
    <t>P074</t>
  </si>
  <si>
    <t>Dining Table</t>
  </si>
  <si>
    <t>P075</t>
  </si>
  <si>
    <t>TV Stand</t>
  </si>
  <si>
    <t>P076</t>
  </si>
  <si>
    <t>Bed Frame</t>
  </si>
  <si>
    <t>P077</t>
  </si>
  <si>
    <t>Mattress</t>
  </si>
  <si>
    <t>P078</t>
  </si>
  <si>
    <t>Wardrobe</t>
  </si>
  <si>
    <t>P079</t>
  </si>
  <si>
    <t>Coffee Table</t>
  </si>
  <si>
    <t>P080</t>
  </si>
  <si>
    <t>Foot Rest</t>
  </si>
  <si>
    <t>p002</t>
  </si>
  <si>
    <t>p001</t>
  </si>
  <si>
    <t>p082</t>
  </si>
  <si>
    <t>pen</t>
  </si>
  <si>
    <t>p081</t>
  </si>
  <si>
    <t>phone</t>
  </si>
  <si>
    <t>Total Quantity</t>
  </si>
  <si>
    <t>Product Count</t>
  </si>
  <si>
    <t>Low Stock Count</t>
  </si>
  <si>
    <t>Row Labels</t>
  </si>
  <si>
    <t>(blank)</t>
  </si>
  <si>
    <t>Grand Total</t>
  </si>
  <si>
    <t>Count of Category</t>
  </si>
  <si>
    <t>P081</t>
  </si>
  <si>
    <t>Mobile</t>
  </si>
  <si>
    <t xml:space="preserve">Number products in each category </t>
  </si>
  <si>
    <t>Sum of Unit_Price</t>
  </si>
  <si>
    <t>Total Stock Value by Category</t>
  </si>
  <si>
    <t>Count of Stock</t>
  </si>
  <si>
    <t>Count of Product_ID</t>
  </si>
  <si>
    <t>No. products</t>
  </si>
  <si>
    <t>Total stock quntity</t>
  </si>
  <si>
    <t>Sum of Current_Stock</t>
  </si>
  <si>
    <t>low_stocks</t>
  </si>
  <si>
    <t>Max of low_stocks</t>
  </si>
  <si>
    <t>Min of low_stocks</t>
  </si>
  <si>
    <t>low_stock or not</t>
  </si>
  <si>
    <t>(All)</t>
  </si>
  <si>
    <t>Day</t>
  </si>
  <si>
    <t>Month</t>
  </si>
  <si>
    <t>Year</t>
  </si>
  <si>
    <t>P082</t>
  </si>
  <si>
    <t>Bullet Rice</t>
  </si>
  <si>
    <t>Stock IN AND OUT</t>
  </si>
  <si>
    <t>Stock is low(-) OR NOT(+)</t>
  </si>
  <si>
    <t>Number of Low Stock Value by Category</t>
  </si>
  <si>
    <t>Count of  Quantity</t>
  </si>
  <si>
    <t>P083</t>
  </si>
  <si>
    <t>Laptop</t>
  </si>
  <si>
    <t>55000</t>
  </si>
  <si>
    <t>YES</t>
  </si>
  <si>
    <t>NO</t>
  </si>
  <si>
    <t>p024</t>
  </si>
  <si>
    <t>Total Low Stock Products</t>
  </si>
  <si>
    <t>P0082</t>
  </si>
  <si>
    <t>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</si>
</sst>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64" formatCode="&quot;₹&quot;\ #,##0.00"/>
  </numFmts>
  <fonts count="8" x14ac:knownFonts="1">
    <font>
      <sz val="11"/>
      <color theme="1"/>
      <name val="Calibri"/>
      <family val="2"/>
      <scheme val="minor"/>
    </font>
    <font>
      <b/>
      <sz val="12"/>
      <color theme="1"/>
      <name val="Calibri"/>
      <family val="2"/>
      <scheme val="minor"/>
    </font>
    <font>
      <sz val="12"/>
      <color theme="1"/>
      <name val="Calibri"/>
      <family val="2"/>
      <scheme val="minor"/>
    </font>
    <font>
      <b/>
      <sz val="11"/>
      <color rgb="FFFFFFFF"/>
      <name val="Calibri"/>
      <family val="2"/>
      <scheme val="minor"/>
    </font>
    <font>
      <b/>
      <sz val="12"/>
      <color rgb="FFFFFFFF"/>
      <name val="Calibri"/>
      <family val="2"/>
      <scheme val="minor"/>
    </font>
    <font>
      <b/>
      <sz val="10"/>
      <color theme="1"/>
      <name val="Arial Black"/>
      <family val="2"/>
    </font>
    <font>
      <sz val="10"/>
      <color rgb="FF000000"/>
      <name val="Times New Roman"/>
      <family val="1"/>
    </font>
    <font>
      <b/>
      <sz val="11"/>
      <color theme="1"/>
      <name val="Calibri"/>
      <family val="2"/>
      <scheme val="minor"/>
    </font>
  </fonts>
  <fills count="13">
    <fill>
      <patternFill patternType="none"/>
    </fill>
    <fill>
      <patternFill patternType="gray125"/>
    </fill>
    <fill>
      <patternFill patternType="solid">
        <fgColor theme="8" tint="0.39997558519241921"/>
        <bgColor indexed="64"/>
      </patternFill>
    </fill>
    <fill>
      <patternFill patternType="solid">
        <fgColor theme="5" tint="0.39997558519241921"/>
        <bgColor indexed="64"/>
      </patternFill>
    </fill>
    <fill>
      <patternFill patternType="solid">
        <fgColor rgb="FF323264"/>
        <bgColor indexed="64"/>
      </patternFill>
    </fill>
    <fill>
      <patternFill patternType="solid">
        <fgColor rgb="FFF0F8FF"/>
        <bgColor indexed="64"/>
      </patternFill>
    </fill>
    <fill>
      <patternFill patternType="solid">
        <fgColor rgb="FF006633"/>
        <bgColor indexed="64"/>
      </patternFill>
    </fill>
    <fill>
      <patternFill patternType="solid">
        <fgColor rgb="FFE8F5E9"/>
        <bgColor indexed="64"/>
      </patternFill>
    </fill>
    <fill>
      <patternFill patternType="solid">
        <fgColor rgb="FF19376D"/>
        <bgColor indexed="64"/>
      </patternFill>
    </fill>
    <fill>
      <patternFill patternType="solid">
        <fgColor rgb="FFE1EBF5"/>
        <bgColor indexed="64"/>
      </patternFill>
    </fill>
    <fill>
      <patternFill patternType="solid">
        <fgColor rgb="FF800000"/>
        <bgColor indexed="64"/>
      </patternFill>
    </fill>
    <fill>
      <patternFill patternType="solid">
        <fgColor rgb="FFFFF9E6"/>
        <bgColor indexed="64"/>
      </patternFill>
    </fill>
    <fill>
      <patternFill patternType="solid">
        <fgColor rgb="FFFFFF00"/>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s>
  <cellStyleXfs count="1">
    <xf numFmtId="0" fontId="0" fillId="0" borderId="0"/>
  </cellStyleXfs>
  <cellXfs count="57">
    <xf numFmtId="0" fontId="0" fillId="0" borderId="0" xfId="0"/>
    <xf numFmtId="0" fontId="0" fillId="0" borderId="0" xfId="0" applyAlignment="1">
      <alignment horizontal="center" vertical="center"/>
    </xf>
    <xf numFmtId="0" fontId="0" fillId="0" borderId="1" xfId="0" applyBorder="1" applyAlignment="1">
      <alignment horizontal="center" vertical="center"/>
    </xf>
    <xf numFmtId="0" fontId="0" fillId="2" borderId="1" xfId="0" applyFill="1" applyBorder="1" applyAlignment="1">
      <alignment horizontal="center" vertical="center"/>
    </xf>
    <xf numFmtId="0" fontId="0" fillId="3" borderId="1" xfId="0" applyFill="1" applyBorder="1" applyAlignment="1">
      <alignment horizontal="center" vertical="center"/>
    </xf>
    <xf numFmtId="0" fontId="2" fillId="0" borderId="0" xfId="0" applyFont="1"/>
    <xf numFmtId="0" fontId="0" fillId="5" borderId="0" xfId="0" applyFill="1"/>
    <xf numFmtId="0" fontId="4" fillId="6" borderId="0" xfId="0" applyFont="1" applyFill="1" applyAlignment="1">
      <alignment horizontal="center" vertical="center"/>
    </xf>
    <xf numFmtId="0" fontId="4" fillId="6" borderId="0" xfId="0" applyFont="1" applyFill="1"/>
    <xf numFmtId="14" fontId="0" fillId="7" borderId="0" xfId="0" applyNumberFormat="1" applyFill="1" applyAlignment="1">
      <alignment horizontal="center" vertical="center"/>
    </xf>
    <xf numFmtId="0" fontId="0" fillId="7" borderId="0" xfId="0" applyFill="1" applyAlignment="1">
      <alignment horizontal="center" vertical="center"/>
    </xf>
    <xf numFmtId="0" fontId="0" fillId="7" borderId="0" xfId="0" applyFill="1"/>
    <xf numFmtId="0" fontId="4" fillId="8" borderId="0" xfId="0" applyFont="1" applyFill="1" applyAlignment="1">
      <alignment horizontal="center" vertical="center"/>
    </xf>
    <xf numFmtId="0" fontId="0" fillId="9" borderId="0" xfId="0" applyFill="1" applyAlignment="1">
      <alignment horizontal="center" vertical="center"/>
    </xf>
    <xf numFmtId="0" fontId="3" fillId="10" borderId="0" xfId="0" applyFont="1" applyFill="1"/>
    <xf numFmtId="0" fontId="0" fillId="11" borderId="0" xfId="0" applyFill="1"/>
    <xf numFmtId="0" fontId="4" fillId="4" borderId="0" xfId="0" applyFont="1" applyFill="1"/>
    <xf numFmtId="0" fontId="1" fillId="0" borderId="0" xfId="0" applyFont="1" applyAlignment="1">
      <alignment horizontal="center" vertical="center"/>
    </xf>
    <xf numFmtId="0" fontId="4" fillId="0" borderId="0" xfId="0" applyFont="1" applyAlignment="1">
      <alignment horizontal="center" vertical="center"/>
    </xf>
    <xf numFmtId="0" fontId="0" fillId="0" borderId="2" xfId="0" applyBorder="1"/>
    <xf numFmtId="0" fontId="0" fillId="0" borderId="3" xfId="0" applyBorder="1"/>
    <xf numFmtId="0" fontId="0" fillId="0" borderId="4" xfId="0" applyBorder="1"/>
    <xf numFmtId="0" fontId="0" fillId="0" borderId="6" xfId="0" applyBorder="1"/>
    <xf numFmtId="0" fontId="0" fillId="0" borderId="5" xfId="0" pivotButton="1" applyBorder="1"/>
    <xf numFmtId="0" fontId="0" fillId="0" borderId="5" xfId="0" applyBorder="1" applyAlignment="1">
      <alignment horizontal="left"/>
    </xf>
    <xf numFmtId="0" fontId="0" fillId="0" borderId="5" xfId="0" applyBorder="1"/>
    <xf numFmtId="0" fontId="0" fillId="0" borderId="7" xfId="0" applyBorder="1"/>
    <xf numFmtId="0" fontId="0" fillId="0" borderId="8" xfId="0" applyBorder="1"/>
    <xf numFmtId="0" fontId="0" fillId="0" borderId="9" xfId="0" applyBorder="1"/>
    <xf numFmtId="0" fontId="0" fillId="0" borderId="0" xfId="0" pivotButton="1"/>
    <xf numFmtId="0" fontId="0" fillId="0" borderId="0" xfId="0" applyAlignment="1">
      <alignment horizontal="left"/>
    </xf>
    <xf numFmtId="0" fontId="0" fillId="0" borderId="12" xfId="0" applyBorder="1" applyAlignment="1">
      <alignment horizontal="left"/>
    </xf>
    <xf numFmtId="0" fontId="0" fillId="0" borderId="13" xfId="0" applyBorder="1" applyAlignment="1">
      <alignment horizontal="left"/>
    </xf>
    <xf numFmtId="0" fontId="0" fillId="0" borderId="10" xfId="0" pivotButton="1" applyBorder="1"/>
    <xf numFmtId="0" fontId="0" fillId="0" borderId="10" xfId="0" applyBorder="1" applyAlignment="1">
      <alignment horizontal="left"/>
    </xf>
    <xf numFmtId="0" fontId="0" fillId="0" borderId="10" xfId="0" applyBorder="1"/>
    <xf numFmtId="0" fontId="0" fillId="0" borderId="11" xfId="0" applyBorder="1" applyAlignment="1">
      <alignment horizontal="left"/>
    </xf>
    <xf numFmtId="0" fontId="0" fillId="12" borderId="2" xfId="0" applyFill="1" applyBorder="1"/>
    <xf numFmtId="2" fontId="0" fillId="5" borderId="0" xfId="0" applyNumberFormat="1" applyFill="1"/>
    <xf numFmtId="164" fontId="0" fillId="0" borderId="1" xfId="0" applyNumberFormat="1" applyBorder="1" applyAlignment="1">
      <alignment horizontal="center" vertical="center"/>
    </xf>
    <xf numFmtId="0" fontId="0" fillId="0" borderId="14" xfId="0" pivotButton="1" applyBorder="1"/>
    <xf numFmtId="0" fontId="0" fillId="0" borderId="15" xfId="0" applyBorder="1"/>
    <xf numFmtId="14" fontId="0" fillId="0" borderId="5" xfId="0" applyNumberFormat="1" applyBorder="1" applyAlignment="1">
      <alignment horizontal="left" indent="1"/>
    </xf>
    <xf numFmtId="0" fontId="0" fillId="0" borderId="5" xfId="0" applyBorder="1" applyAlignment="1">
      <alignment horizontal="left" indent="1"/>
    </xf>
    <xf numFmtId="0" fontId="0" fillId="12" borderId="5" xfId="0" applyFill="1" applyBorder="1" applyAlignment="1">
      <alignment horizontal="center" vertical="center"/>
    </xf>
    <xf numFmtId="0" fontId="0" fillId="12" borderId="0" xfId="0" applyFill="1" applyAlignment="1">
      <alignment horizontal="center" vertical="center"/>
    </xf>
    <xf numFmtId="0" fontId="2" fillId="12" borderId="5" xfId="0" applyFont="1" applyFill="1" applyBorder="1" applyAlignment="1">
      <alignment horizontal="center" vertical="center" readingOrder="1"/>
    </xf>
    <xf numFmtId="0" fontId="2" fillId="12" borderId="0" xfId="0" applyFont="1" applyFill="1" applyAlignment="1">
      <alignment horizontal="center" vertical="center" readingOrder="1"/>
    </xf>
    <xf numFmtId="0" fontId="0" fillId="12" borderId="0" xfId="0" applyFill="1" applyAlignment="1">
      <alignment horizontal="center"/>
    </xf>
    <xf numFmtId="0" fontId="5" fillId="12" borderId="0" xfId="0" applyFont="1" applyFill="1" applyAlignment="1">
      <alignment horizontal="center" vertical="center"/>
    </xf>
    <xf numFmtId="0" fontId="6" fillId="12" borderId="0" xfId="0" applyFont="1" applyFill="1" applyAlignment="1">
      <alignment horizontal="center" vertical="center" readingOrder="1"/>
    </xf>
    <xf numFmtId="0" fontId="0" fillId="0" borderId="0" xfId="0" applyNumberFormat="1"/>
    <xf numFmtId="0" fontId="0" fillId="0" borderId="11" xfId="0" applyNumberFormat="1" applyBorder="1"/>
    <xf numFmtId="0" fontId="0" fillId="0" borderId="12" xfId="0" applyNumberFormat="1" applyBorder="1"/>
    <xf numFmtId="0" fontId="0" fillId="0" borderId="13" xfId="0" applyNumberFormat="1" applyBorder="1"/>
    <xf numFmtId="0" fontId="0" fillId="0" borderId="10" xfId="0" applyNumberFormat="1" applyBorder="1"/>
    <xf numFmtId="0" fontId="7" fillId="0" borderId="0" xfId="0" applyFont="1"/>
  </cellXfs>
  <cellStyles count="1">
    <cellStyle name="Normal" xfId="0" builtinId="0"/>
  </cellStyles>
  <dxfs count="44">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font>
        <b val="0"/>
        <i val="0"/>
        <sz val="14"/>
        <color theme="0"/>
        <name val="Arial Black"/>
        <family val="2"/>
        <scheme val="none"/>
      </font>
    </dxf>
    <dxf>
      <font>
        <sz val="9"/>
        <color theme="1"/>
        <name val="Arial Black"/>
        <family val="2"/>
        <scheme val="none"/>
      </font>
      <fill>
        <gradientFill degree="90">
          <stop position="0">
            <color theme="3" tint="0.80001220740379042"/>
          </stop>
          <stop position="1">
            <color rgb="FF413C62"/>
          </stop>
        </gradientFill>
      </fill>
    </dxf>
  </dxfs>
  <tableStyles count="3" defaultTableStyle="TableStyleMedium2" defaultPivotStyle="PivotStyleLight16">
    <tableStyle name="Slicer Style 1" pivot="0" table="0" count="0" xr9:uid="{5B47C752-0826-4418-AB23-B983D0AC8701}"/>
    <tableStyle name="Slicer Style 2" pivot="0" table="0" count="7" xr9:uid="{C5589D1F-92E2-4725-AE4D-1DD231715486}">
      <tableStyleElement type="headerRow" dxfId="43"/>
    </tableStyle>
    <tableStyle name="Slicer Style 3" pivot="0" table="0" count="1" xr9:uid="{F03954FC-40EC-49AD-9459-0D37BF95475B}">
      <tableStyleElement type="headerRow" dxfId="42"/>
    </tableStyle>
  </tableStyles>
  <colors>
    <mruColors>
      <color rgb="FF413C62"/>
      <color rgb="FF3E22C8"/>
      <color rgb="FFDB1809"/>
      <color rgb="FF063B90"/>
      <color rgb="FF7030A0"/>
      <color rgb="FFFEE0D8"/>
      <color rgb="FFE5E3E3"/>
      <color rgb="FFC4D1FC"/>
      <color rgb="FF8E32E9"/>
      <color rgb="FFF8F9FA"/>
    </mruColors>
  </colors>
  <extLst>
    <ext xmlns:x14="http://schemas.microsoft.com/office/spreadsheetml/2009/9/main" uri="{46F421CA-312F-682f-3DD2-61675219B42D}">
      <x14:dxfs count="6">
        <dxf>
          <fill>
            <patternFill>
              <bgColor theme="2" tint="-0.749961851863155"/>
            </patternFill>
          </fill>
        </dxf>
        <dxf>
          <fill>
            <gradientFill degree="90">
              <stop position="0">
                <color theme="2" tint="-9.8025452436902985E-2"/>
              </stop>
              <stop position="1">
                <color theme="2" tint="-0.74901577806939912"/>
              </stop>
            </gradientFill>
          </fill>
        </dxf>
        <dxf>
          <fill>
            <gradientFill degree="90">
              <stop position="0">
                <color rgb="FFC4D1FC"/>
              </stop>
              <stop position="1">
                <color rgb="FF063B90"/>
              </stop>
            </gradientFill>
          </fill>
        </dxf>
        <dxf>
          <fill>
            <gradientFill degree="90">
              <stop position="0">
                <color rgb="FFC4D1FC"/>
              </stop>
              <stop position="1">
                <color rgb="FF063B90"/>
              </stop>
            </gradientFill>
          </fill>
        </dxf>
        <dxf>
          <fill>
            <gradientFill degree="90">
              <stop position="0">
                <color rgb="FFE5E3E3"/>
              </stop>
              <stop position="1">
                <color theme="2" tint="-0.74901577806939912"/>
              </stop>
            </gradientFill>
          </fill>
        </dxf>
        <dxf>
          <fill>
            <gradientFill degree="90">
              <stop position="0">
                <color rgb="FFE5E3E3"/>
              </stop>
              <stop position="1">
                <color theme="2" tint="-0.49803155613879818"/>
              </stop>
            </gradientFill>
          </fill>
        </dxf>
      </x14:dxfs>
    </ext>
    <ext xmlns:x14="http://schemas.microsoft.com/office/spreadsheetml/2009/9/main" uri="{EB79DEF2-80B8-43e5-95BD-54CBDDF9020C}">
      <x14:slicerStyles defaultSlicerStyle="SlicerStyleLight1">
        <x14:slicerStyle name="Slicer Style 1"/>
        <x14:slicerStyle name="Slicer Style 2">
          <x14:slicerStyleElements>
            <x14:slicerStyleElement type="unselectedItemWithData" dxfId="5"/>
            <x14:slicerStyleElement type="unselectedItemWithNoData" dxfId="4"/>
            <x14:slicerStyleElement type="selectedItemWithData" dxfId="3"/>
            <x14:slicerStyleElement type="selectedItemWithNoData" dxfId="2"/>
            <x14:slicerStyleElement type="hoveredUnselectedItemWithData" dxfId="1"/>
            <x14:slicerStyleElement type="hoveredSelectedItemWithData" dxfId="0"/>
          </x14:slicerStyleElements>
        </x14:slicerStyle>
        <x14:slicerStyle name="Slicer Style 3"/>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4.xml"/><Relationship Id="rId18" Type="http://schemas.microsoft.com/office/2007/relationships/slicerCache" Target="slicerCaches/slicerCache4.xml"/><Relationship Id="rId26" Type="http://schemas.microsoft.com/office/2006/relationships/vbaProject" Target="vbaProject.bin"/><Relationship Id="rId3" Type="http://schemas.openxmlformats.org/officeDocument/2006/relationships/worksheet" Target="worksheets/sheet3.xml"/><Relationship Id="rId21" Type="http://schemas.microsoft.com/office/2007/relationships/slicerCache" Target="slicerCaches/slicerCache7.xml"/><Relationship Id="rId7" Type="http://schemas.openxmlformats.org/officeDocument/2006/relationships/worksheet" Target="worksheets/sheet7.xml"/><Relationship Id="rId12" Type="http://schemas.openxmlformats.org/officeDocument/2006/relationships/pivotCacheDefinition" Target="pivotCache/pivotCacheDefinition3.xml"/><Relationship Id="rId17" Type="http://schemas.microsoft.com/office/2007/relationships/slicerCache" Target="slicerCaches/slicerCache3.xml"/><Relationship Id="rId25" Type="http://schemas.openxmlformats.org/officeDocument/2006/relationships/calcChain" Target="calcChain.xml"/><Relationship Id="rId2" Type="http://schemas.openxmlformats.org/officeDocument/2006/relationships/worksheet" Target="worksheets/sheet2.xml"/><Relationship Id="rId16" Type="http://schemas.microsoft.com/office/2007/relationships/slicerCache" Target="slicerCaches/slicerCache2.xml"/><Relationship Id="rId20" Type="http://schemas.microsoft.com/office/2007/relationships/slicerCache" Target="slicerCaches/slicerCache6.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2.xml"/><Relationship Id="rId24" Type="http://schemas.openxmlformats.org/officeDocument/2006/relationships/sharedStrings" Target="sharedStrings.xml"/><Relationship Id="rId5" Type="http://schemas.openxmlformats.org/officeDocument/2006/relationships/worksheet" Target="worksheets/sheet5.xml"/><Relationship Id="rId15" Type="http://schemas.microsoft.com/office/2007/relationships/slicerCache" Target="slicerCaches/slicerCache1.xml"/><Relationship Id="rId23" Type="http://schemas.openxmlformats.org/officeDocument/2006/relationships/styles" Target="styles.xml"/><Relationship Id="rId10" Type="http://schemas.openxmlformats.org/officeDocument/2006/relationships/pivotCacheDefinition" Target="pivotCache/pivotCacheDefinition1.xml"/><Relationship Id="rId19" Type="http://schemas.microsoft.com/office/2007/relationships/slicerCache" Target="slicerCaches/slicerCache5.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5.xml"/><Relationship Id="rId22"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charts/_rels/chart5.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6.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7.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8.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9.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10.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11.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12.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13.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44"/>
    </mc:Choice>
    <mc:Fallback>
      <c:style val="44"/>
    </mc:Fallback>
  </mc:AlternateContent>
  <c:chart>
    <c:title>
      <c:tx>
        <c:rich>
          <a:bodyPr/>
          <a:lstStyle/>
          <a:p>
            <a:pPr>
              <a:defRPr/>
            </a:pPr>
            <a:r>
              <a:rPr lang="en-IN"/>
              <a:t>Total Stock Value by Category</a:t>
            </a:r>
          </a:p>
        </c:rich>
      </c:tx>
      <c:overlay val="0"/>
    </c:title>
    <c:autoTitleDeleted val="0"/>
    <c:plotArea>
      <c:layout/>
      <c:barChart>
        <c:barDir val="col"/>
        <c:grouping val="clustered"/>
        <c:varyColors val="0"/>
        <c:ser>
          <c:idx val="0"/>
          <c:order val="0"/>
          <c:tx>
            <c:strRef>
              <c:f>DashboardData!$B$1</c:f>
              <c:strCache>
                <c:ptCount val="1"/>
                <c:pt idx="0">
                  <c:v>Total Stock Value</c:v>
                </c:pt>
              </c:strCache>
            </c:strRef>
          </c:tx>
          <c:invertIfNegative val="0"/>
          <c:cat>
            <c:strRef>
              <c:f>DashboardData!$A$2:$A$5</c:f>
              <c:strCache>
                <c:ptCount val="4"/>
                <c:pt idx="0">
                  <c:v>Electronics</c:v>
                </c:pt>
                <c:pt idx="1">
                  <c:v>Grocery</c:v>
                </c:pt>
                <c:pt idx="2">
                  <c:v>Stationery</c:v>
                </c:pt>
                <c:pt idx="3">
                  <c:v>Furniture</c:v>
                </c:pt>
              </c:strCache>
            </c:strRef>
          </c:cat>
          <c:val>
            <c:numRef>
              <c:f>DashboardData!$B$2:$B$5</c:f>
              <c:numCache>
                <c:formatCode>General</c:formatCode>
                <c:ptCount val="4"/>
                <c:pt idx="0">
                  <c:v>714942</c:v>
                </c:pt>
                <c:pt idx="1">
                  <c:v>185171</c:v>
                </c:pt>
                <c:pt idx="2">
                  <c:v>82080</c:v>
                </c:pt>
                <c:pt idx="3">
                  <c:v>1319489</c:v>
                </c:pt>
              </c:numCache>
            </c:numRef>
          </c:val>
          <c:extLst>
            <c:ext xmlns:c16="http://schemas.microsoft.com/office/drawing/2014/chart" uri="{C3380CC4-5D6E-409C-BE32-E72D297353CC}">
              <c16:uniqueId val="{00000000-0AAC-4DA4-A709-77593784ACDE}"/>
            </c:ext>
          </c:extLst>
        </c:ser>
        <c:dLbls>
          <c:showLegendKey val="0"/>
          <c:showVal val="0"/>
          <c:showCatName val="0"/>
          <c:showSerName val="0"/>
          <c:showPercent val="0"/>
          <c:showBubbleSize val="0"/>
        </c:dLbls>
        <c:gapWidth val="150"/>
        <c:axId val="1348870464"/>
        <c:axId val="1348870944"/>
      </c:barChart>
      <c:catAx>
        <c:axId val="1348870464"/>
        <c:scaling>
          <c:orientation val="minMax"/>
        </c:scaling>
        <c:delete val="0"/>
        <c:axPos val="b"/>
        <c:title>
          <c:tx>
            <c:rich>
              <a:bodyPr/>
              <a:lstStyle/>
              <a:p>
                <a:pPr>
                  <a:defRPr/>
                </a:pPr>
                <a:r>
                  <a:rPr lang="en-IN"/>
                  <a:t>Category</a:t>
                </a:r>
              </a:p>
            </c:rich>
          </c:tx>
          <c:overlay val="0"/>
        </c:title>
        <c:numFmt formatCode="General" sourceLinked="1"/>
        <c:majorTickMark val="out"/>
        <c:minorTickMark val="none"/>
        <c:tickLblPos val="nextTo"/>
        <c:crossAx val="1348870944"/>
        <c:crosses val="autoZero"/>
        <c:auto val="1"/>
        <c:lblAlgn val="ctr"/>
        <c:lblOffset val="100"/>
        <c:noMultiLvlLbl val="0"/>
      </c:catAx>
      <c:valAx>
        <c:axId val="1348870944"/>
        <c:scaling>
          <c:orientation val="minMax"/>
        </c:scaling>
        <c:delete val="0"/>
        <c:axPos val="l"/>
        <c:majorGridlines/>
        <c:title>
          <c:tx>
            <c:rich>
              <a:bodyPr/>
              <a:lstStyle/>
              <a:p>
                <a:pPr>
                  <a:defRPr/>
                </a:pPr>
                <a:r>
                  <a:rPr lang="en-IN"/>
                  <a:t>Total Stock Value</a:t>
                </a:r>
              </a:p>
            </c:rich>
          </c:tx>
          <c:overlay val="0"/>
        </c:title>
        <c:numFmt formatCode="General" sourceLinked="1"/>
        <c:majorTickMark val="out"/>
        <c:minorTickMark val="none"/>
        <c:tickLblPos val="nextTo"/>
        <c:crossAx val="1348870464"/>
        <c:crosses val="autoZero"/>
        <c:crossBetween val="between"/>
      </c:valAx>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42"/>
    </mc:Choice>
    <mc:Fallback>
      <c:style val="42"/>
    </mc:Fallback>
  </mc:AlternateContent>
  <c:chart>
    <c:title>
      <c:tx>
        <c:rich>
          <a:bodyPr/>
          <a:lstStyle/>
          <a:p>
            <a:pPr>
              <a:defRPr/>
            </a:pPr>
            <a:r>
              <a:rPr lang="en-IN"/>
              <a:t>Total Stock Quantity by Category</a:t>
            </a:r>
          </a:p>
        </c:rich>
      </c:tx>
      <c:overlay val="0"/>
    </c:title>
    <c:autoTitleDeleted val="0"/>
    <c:plotArea>
      <c:layout/>
      <c:pieChart>
        <c:varyColors val="1"/>
        <c:ser>
          <c:idx val="0"/>
          <c:order val="0"/>
          <c:tx>
            <c:v>Total Stock Quantity</c:v>
          </c:tx>
          <c:dLbls>
            <c:spPr>
              <a:noFill/>
              <a:ln>
                <a:noFill/>
              </a:ln>
              <a:effectLst/>
            </c:spPr>
            <c:showLegendKey val="0"/>
            <c:showVal val="1"/>
            <c:showCatName val="1"/>
            <c:showSerName val="0"/>
            <c:showPercent val="1"/>
            <c:showBubbleSize val="0"/>
            <c:showLeaderLines val="1"/>
            <c:extLst>
              <c:ext xmlns:c15="http://schemas.microsoft.com/office/drawing/2012/chart" uri="{CE6537A1-D6FC-4f65-9D91-7224C49458BB}"/>
            </c:extLst>
          </c:dLbls>
          <c:cat>
            <c:strRef>
              <c:f>DashboardData!$A$2:$A$5</c:f>
              <c:strCache>
                <c:ptCount val="4"/>
                <c:pt idx="0">
                  <c:v>Electronics</c:v>
                </c:pt>
                <c:pt idx="1">
                  <c:v>Grocery</c:v>
                </c:pt>
                <c:pt idx="2">
                  <c:v>Stationery</c:v>
                </c:pt>
                <c:pt idx="3">
                  <c:v>Furniture</c:v>
                </c:pt>
              </c:strCache>
            </c:strRef>
          </c:cat>
          <c:val>
            <c:numRef>
              <c:f>DashboardData!$C$2:$C$5</c:f>
              <c:numCache>
                <c:formatCode>General</c:formatCode>
                <c:ptCount val="4"/>
                <c:pt idx="0">
                  <c:v>297</c:v>
                </c:pt>
                <c:pt idx="1">
                  <c:v>457</c:v>
                </c:pt>
                <c:pt idx="2">
                  <c:v>634</c:v>
                </c:pt>
                <c:pt idx="3">
                  <c:v>279</c:v>
                </c:pt>
              </c:numCache>
            </c:numRef>
          </c:val>
          <c:extLst>
            <c:ext xmlns:c16="http://schemas.microsoft.com/office/drawing/2014/chart" uri="{C3380CC4-5D6E-409C-BE32-E72D297353CC}">
              <c16:uniqueId val="{00000000-5CE5-4773-9BB5-01AB25D10EB8}"/>
            </c:ext>
          </c:extLst>
        </c:ser>
        <c:dLbls>
          <c:showLegendKey val="0"/>
          <c:showVal val="0"/>
          <c:showCatName val="0"/>
          <c:showSerName val="0"/>
          <c:showPercent val="0"/>
          <c:showBubbleSize val="0"/>
          <c:showLeaderLines val="1"/>
        </c:dLbls>
        <c:firstSliceAng val="0"/>
      </c:pieChart>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48"/>
    </mc:Choice>
    <mc:Fallback>
      <c:style val="48"/>
    </mc:Fallback>
  </mc:AlternateContent>
  <c:chart>
    <c:title>
      <c:tx>
        <c:rich>
          <a:bodyPr/>
          <a:lstStyle/>
          <a:p>
            <a:pPr>
              <a:defRPr/>
            </a:pPr>
            <a:r>
              <a:rPr lang="en-IN"/>
              <a:t>Number of Products by Category</a:t>
            </a:r>
          </a:p>
        </c:rich>
      </c:tx>
      <c:overlay val="0"/>
    </c:title>
    <c:autoTitleDeleted val="0"/>
    <c:view3D>
      <c:rotX val="15"/>
      <c:rotY val="0"/>
      <c:rAngAx val="0"/>
    </c:view3D>
    <c:floor>
      <c:thickness val="0"/>
    </c:floor>
    <c:sideWall>
      <c:thickness val="0"/>
    </c:sideWall>
    <c:backWall>
      <c:thickness val="0"/>
    </c:backWall>
    <c:plotArea>
      <c:layout/>
      <c:pie3DChart>
        <c:varyColors val="1"/>
        <c:ser>
          <c:idx val="0"/>
          <c:order val="0"/>
          <c:tx>
            <c:v>Number of Products</c:v>
          </c:tx>
          <c:dLbls>
            <c:spPr>
              <a:noFill/>
              <a:ln>
                <a:noFill/>
              </a:ln>
              <a:effectLst/>
            </c:spPr>
            <c:showLegendKey val="0"/>
            <c:showVal val="1"/>
            <c:showCatName val="1"/>
            <c:showSerName val="0"/>
            <c:showPercent val="1"/>
            <c:showBubbleSize val="0"/>
            <c:showLeaderLines val="1"/>
            <c:extLst>
              <c:ext xmlns:c15="http://schemas.microsoft.com/office/drawing/2012/chart" uri="{CE6537A1-D6FC-4f65-9D91-7224C49458BB}"/>
            </c:extLst>
          </c:dLbls>
          <c:cat>
            <c:strRef>
              <c:f>DashboardData!$A$2:$A$5</c:f>
              <c:strCache>
                <c:ptCount val="4"/>
                <c:pt idx="0">
                  <c:v>Electronics</c:v>
                </c:pt>
                <c:pt idx="1">
                  <c:v>Grocery</c:v>
                </c:pt>
                <c:pt idx="2">
                  <c:v>Stationery</c:v>
                </c:pt>
                <c:pt idx="3">
                  <c:v>Furniture</c:v>
                </c:pt>
              </c:strCache>
            </c:strRef>
          </c:cat>
          <c:val>
            <c:numRef>
              <c:f>DashboardData!$D$2:$D$5</c:f>
              <c:numCache>
                <c:formatCode>General</c:formatCode>
                <c:ptCount val="4"/>
                <c:pt idx="0">
                  <c:v>20</c:v>
                </c:pt>
                <c:pt idx="1">
                  <c:v>20</c:v>
                </c:pt>
                <c:pt idx="2">
                  <c:v>20</c:v>
                </c:pt>
                <c:pt idx="3">
                  <c:v>20</c:v>
                </c:pt>
              </c:numCache>
            </c:numRef>
          </c:val>
          <c:extLst>
            <c:ext xmlns:c16="http://schemas.microsoft.com/office/drawing/2014/chart" uri="{C3380CC4-5D6E-409C-BE32-E72D297353CC}">
              <c16:uniqueId val="{00000000-E2E5-4CB2-95E6-3E31F6B3196A}"/>
            </c:ext>
          </c:extLst>
        </c:ser>
        <c:dLbls>
          <c:showLegendKey val="0"/>
          <c:showVal val="0"/>
          <c:showCatName val="0"/>
          <c:showSerName val="0"/>
          <c:showPercent val="0"/>
          <c:showBubbleSize val="0"/>
          <c:showLeaderLines val="1"/>
        </c:dLbls>
      </c:pie3DChart>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46"/>
    </mc:Choice>
    <mc:Fallback>
      <c:style val="46"/>
    </mc:Fallback>
  </mc:AlternateContent>
  <c:chart>
    <c:title>
      <c:tx>
        <c:rich>
          <a:bodyPr/>
          <a:lstStyle/>
          <a:p>
            <a:pPr>
              <a:defRPr/>
            </a:pPr>
            <a:r>
              <a:rPr lang="en-IN"/>
              <a:t>Low Stock Products by Category</a:t>
            </a:r>
          </a:p>
        </c:rich>
      </c:tx>
      <c:overlay val="0"/>
    </c:title>
    <c:autoTitleDeleted val="0"/>
    <c:view3D>
      <c:rotX val="15"/>
      <c:rotY val="20"/>
      <c:rAngAx val="0"/>
    </c:view3D>
    <c:floor>
      <c:thickness val="0"/>
    </c:floor>
    <c:sideWall>
      <c:thickness val="0"/>
    </c:sideWall>
    <c:backWall>
      <c:thickness val="0"/>
    </c:backWall>
    <c:plotArea>
      <c:layout/>
      <c:bar3DChart>
        <c:barDir val="col"/>
        <c:grouping val="clustered"/>
        <c:varyColors val="0"/>
        <c:ser>
          <c:idx val="0"/>
          <c:order val="0"/>
          <c:tx>
            <c:v>Number of Products</c:v>
          </c:tx>
          <c:invertIfNegative val="0"/>
          <c:cat>
            <c:strRef>
              <c:f>DashboardData!$A$2:$A$5</c:f>
              <c:strCache>
                <c:ptCount val="4"/>
                <c:pt idx="0">
                  <c:v>Electronics</c:v>
                </c:pt>
                <c:pt idx="1">
                  <c:v>Grocery</c:v>
                </c:pt>
                <c:pt idx="2">
                  <c:v>Stationery</c:v>
                </c:pt>
                <c:pt idx="3">
                  <c:v>Furniture</c:v>
                </c:pt>
              </c:strCache>
            </c:strRef>
          </c:cat>
          <c:val>
            <c:numRef>
              <c:f>DashboardData!$E$2:$E$5</c:f>
              <c:numCache>
                <c:formatCode>General</c:formatCode>
                <c:ptCount val="4"/>
                <c:pt idx="0">
                  <c:v>6</c:v>
                </c:pt>
                <c:pt idx="1">
                  <c:v>6</c:v>
                </c:pt>
                <c:pt idx="2">
                  <c:v>10</c:v>
                </c:pt>
                <c:pt idx="3">
                  <c:v>3</c:v>
                </c:pt>
              </c:numCache>
            </c:numRef>
          </c:val>
          <c:extLst>
            <c:ext xmlns:c16="http://schemas.microsoft.com/office/drawing/2014/chart" uri="{C3380CC4-5D6E-409C-BE32-E72D297353CC}">
              <c16:uniqueId val="{00000000-DF23-45CC-9F82-66FE5EA973B8}"/>
            </c:ext>
          </c:extLst>
        </c:ser>
        <c:dLbls>
          <c:showLegendKey val="0"/>
          <c:showVal val="0"/>
          <c:showCatName val="0"/>
          <c:showSerName val="0"/>
          <c:showPercent val="0"/>
          <c:showBubbleSize val="0"/>
        </c:dLbls>
        <c:gapWidth val="150"/>
        <c:shape val="box"/>
        <c:axId val="1409692544"/>
        <c:axId val="1409687744"/>
        <c:axId val="0"/>
      </c:bar3DChart>
      <c:catAx>
        <c:axId val="1409692544"/>
        <c:scaling>
          <c:orientation val="minMax"/>
        </c:scaling>
        <c:delete val="0"/>
        <c:axPos val="b"/>
        <c:title>
          <c:tx>
            <c:rich>
              <a:bodyPr/>
              <a:lstStyle/>
              <a:p>
                <a:pPr>
                  <a:defRPr/>
                </a:pPr>
                <a:r>
                  <a:rPr lang="en-IN"/>
                  <a:t>Category</a:t>
                </a:r>
              </a:p>
            </c:rich>
          </c:tx>
          <c:overlay val="0"/>
        </c:title>
        <c:numFmt formatCode="General" sourceLinked="1"/>
        <c:majorTickMark val="out"/>
        <c:minorTickMark val="none"/>
        <c:tickLblPos val="nextTo"/>
        <c:crossAx val="1409687744"/>
        <c:crosses val="autoZero"/>
        <c:auto val="1"/>
        <c:lblAlgn val="ctr"/>
        <c:lblOffset val="100"/>
        <c:noMultiLvlLbl val="0"/>
      </c:catAx>
      <c:valAx>
        <c:axId val="1409687744"/>
        <c:scaling>
          <c:orientation val="minMax"/>
        </c:scaling>
        <c:delete val="0"/>
        <c:axPos val="l"/>
        <c:majorGridlines/>
        <c:title>
          <c:tx>
            <c:rich>
              <a:bodyPr/>
              <a:lstStyle/>
              <a:p>
                <a:pPr>
                  <a:defRPr/>
                </a:pPr>
                <a:r>
                  <a:rPr lang="en-IN"/>
                  <a:t>Low Stock Count</a:t>
                </a:r>
              </a:p>
            </c:rich>
          </c:tx>
          <c:overlay val="0"/>
        </c:title>
        <c:numFmt formatCode="General" sourceLinked="1"/>
        <c:majorTickMark val="out"/>
        <c:minorTickMark val="none"/>
        <c:tickLblPos val="nextTo"/>
        <c:crossAx val="1409692544"/>
        <c:crosses val="autoZero"/>
        <c:crossBetween val="between"/>
      </c:valAx>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macros project-2 (Recovered)(AutoRecovered).xlsm]Analysis!PivotTable2</c:name>
    <c:fmtId val="4"/>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gradFill>
            <a:gsLst>
              <a:gs pos="0">
                <a:schemeClr val="accent1">
                  <a:lumMod val="5000"/>
                  <a:lumOff val="95000"/>
                </a:schemeClr>
              </a:gs>
              <a:gs pos="38000">
                <a:schemeClr val="accent1">
                  <a:lumMod val="45000"/>
                  <a:lumOff val="55000"/>
                </a:schemeClr>
              </a:gs>
              <a:gs pos="100000">
                <a:srgbClr val="4A3385"/>
              </a:gs>
            </a:gsLst>
            <a:lin ang="5400000" scaled="1"/>
          </a:gradFill>
          <a:ln>
            <a:solidFill>
              <a:srgbClr val="4A3385"/>
            </a:solidFill>
          </a:ln>
          <a:effectLst/>
        </c:spPr>
        <c:dLbl>
          <c:idx val="0"/>
          <c:layout>
            <c:manualLayout>
              <c:x val="-0.14173998044965788"/>
              <c:y val="-9.6818810511756573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gradFill>
            <a:gsLst>
              <a:gs pos="81000">
                <a:schemeClr val="accent1">
                  <a:lumMod val="5000"/>
                  <a:lumOff val="95000"/>
                </a:schemeClr>
              </a:gs>
              <a:gs pos="6000">
                <a:srgbClr val="00B050"/>
              </a:gs>
            </a:gsLst>
            <a:lin ang="5400000" scaled="1"/>
          </a:gradFill>
          <a:ln>
            <a:noFill/>
          </a:ln>
          <a:effectLst/>
        </c:spPr>
        <c:dLbl>
          <c:idx val="0"/>
          <c:layout>
            <c:manualLayout>
              <c:x val="0.16617790811339198"/>
              <c:y val="-0.1037344398340249"/>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gradFill>
            <a:gsLst>
              <a:gs pos="19000">
                <a:schemeClr val="accent1">
                  <a:lumMod val="5000"/>
                  <a:lumOff val="95000"/>
                </a:schemeClr>
              </a:gs>
              <a:gs pos="100000">
                <a:srgbClr val="FF0000"/>
              </a:gs>
            </a:gsLst>
            <a:lin ang="5400000" scaled="1"/>
          </a:gradFill>
          <a:ln>
            <a:noFill/>
          </a:ln>
          <a:effectLst/>
        </c:spPr>
        <c:dLbl>
          <c:idx val="0"/>
          <c:layout>
            <c:manualLayout>
              <c:x val="-0.1270772238514174"/>
              <c:y val="8.2987551867219914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
        <c:spPr>
          <a:gradFill>
            <a:gsLst>
              <a:gs pos="81000">
                <a:schemeClr val="accent1">
                  <a:lumMod val="5000"/>
                  <a:lumOff val="95000"/>
                </a:schemeClr>
              </a:gs>
              <a:gs pos="6000">
                <a:srgbClr val="FFFF00"/>
              </a:gs>
            </a:gsLst>
            <a:lin ang="5400000" scaled="1"/>
          </a:gradFill>
          <a:ln>
            <a:noFill/>
          </a:ln>
          <a:effectLst/>
        </c:spPr>
        <c:dLbl>
          <c:idx val="0"/>
          <c:layout>
            <c:manualLayout>
              <c:x val="0.14662756598240459"/>
              <c:y val="8.2987551867219914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pivotFmt>
    </c:pivotFmts>
    <c:plotArea>
      <c:layout>
        <c:manualLayout>
          <c:layoutTarget val="inner"/>
          <c:xMode val="edge"/>
          <c:yMode val="edge"/>
          <c:x val="0.17435901325860606"/>
          <c:y val="0.23028023728216901"/>
          <c:w val="0.54093102731660003"/>
          <c:h val="0.76538373574672458"/>
        </c:manualLayout>
      </c:layout>
      <c:doughnutChart>
        <c:varyColors val="1"/>
        <c:ser>
          <c:idx val="0"/>
          <c:order val="0"/>
          <c:tx>
            <c:strRef>
              <c:f>Analysis!$B$3</c:f>
              <c:strCache>
                <c:ptCount val="1"/>
                <c:pt idx="0">
                  <c:v>Total</c:v>
                </c:pt>
              </c:strCache>
            </c:strRef>
          </c:tx>
          <c:explosion val="11"/>
          <c:dPt>
            <c:idx val="0"/>
            <c:bubble3D val="0"/>
            <c:spPr>
              <a:gradFill>
                <a:gsLst>
                  <a:gs pos="81000">
                    <a:schemeClr val="accent1">
                      <a:lumMod val="5000"/>
                      <a:lumOff val="95000"/>
                    </a:schemeClr>
                  </a:gs>
                  <a:gs pos="6000">
                    <a:srgbClr val="00B050"/>
                  </a:gs>
                </a:gsLst>
                <a:lin ang="5400000" scaled="1"/>
              </a:gradFill>
              <a:ln>
                <a:noFill/>
              </a:ln>
              <a:effectLst/>
            </c:spPr>
            <c:extLst>
              <c:ext xmlns:c16="http://schemas.microsoft.com/office/drawing/2014/chart" uri="{C3380CC4-5D6E-409C-BE32-E72D297353CC}">
                <c16:uniqueId val="{00000002-62AE-437F-9C70-28997673AD4B}"/>
              </c:ext>
            </c:extLst>
          </c:dPt>
          <c:dPt>
            <c:idx val="1"/>
            <c:bubble3D val="0"/>
            <c:spPr>
              <a:gradFill>
                <a:gsLst>
                  <a:gs pos="81000">
                    <a:schemeClr val="accent1">
                      <a:lumMod val="5000"/>
                      <a:lumOff val="95000"/>
                    </a:schemeClr>
                  </a:gs>
                  <a:gs pos="6000">
                    <a:srgbClr val="FFFF00"/>
                  </a:gs>
                </a:gsLst>
                <a:lin ang="5400000" scaled="1"/>
              </a:gradFill>
              <a:ln>
                <a:noFill/>
              </a:ln>
              <a:effectLst/>
            </c:spPr>
            <c:extLst>
              <c:ext xmlns:c16="http://schemas.microsoft.com/office/drawing/2014/chart" uri="{C3380CC4-5D6E-409C-BE32-E72D297353CC}">
                <c16:uniqueId val="{00000004-62AE-437F-9C70-28997673AD4B}"/>
              </c:ext>
            </c:extLst>
          </c:dPt>
          <c:dPt>
            <c:idx val="2"/>
            <c:bubble3D val="0"/>
            <c:spPr>
              <a:gradFill>
                <a:gsLst>
                  <a:gs pos="19000">
                    <a:schemeClr val="accent1">
                      <a:lumMod val="5000"/>
                      <a:lumOff val="95000"/>
                    </a:schemeClr>
                  </a:gs>
                  <a:gs pos="100000">
                    <a:srgbClr val="FF0000"/>
                  </a:gs>
                </a:gsLst>
                <a:lin ang="5400000" scaled="1"/>
              </a:gradFill>
              <a:ln>
                <a:noFill/>
              </a:ln>
              <a:effectLst/>
            </c:spPr>
            <c:extLst>
              <c:ext xmlns:c16="http://schemas.microsoft.com/office/drawing/2014/chart" uri="{C3380CC4-5D6E-409C-BE32-E72D297353CC}">
                <c16:uniqueId val="{00000003-62AE-437F-9C70-28997673AD4B}"/>
              </c:ext>
            </c:extLst>
          </c:dPt>
          <c:dPt>
            <c:idx val="3"/>
            <c:bubble3D val="0"/>
            <c:spPr>
              <a:gradFill>
                <a:gsLst>
                  <a:gs pos="0">
                    <a:schemeClr val="accent1">
                      <a:lumMod val="5000"/>
                      <a:lumOff val="95000"/>
                    </a:schemeClr>
                  </a:gs>
                  <a:gs pos="38000">
                    <a:schemeClr val="accent1">
                      <a:lumMod val="45000"/>
                      <a:lumOff val="55000"/>
                    </a:schemeClr>
                  </a:gs>
                  <a:gs pos="100000">
                    <a:srgbClr val="4A3385"/>
                  </a:gs>
                </a:gsLst>
                <a:lin ang="5400000" scaled="1"/>
              </a:gradFill>
              <a:ln>
                <a:solidFill>
                  <a:srgbClr val="4A3385"/>
                </a:solidFill>
              </a:ln>
              <a:effectLst/>
            </c:spPr>
            <c:extLst>
              <c:ext xmlns:c16="http://schemas.microsoft.com/office/drawing/2014/chart" uri="{C3380CC4-5D6E-409C-BE32-E72D297353CC}">
                <c16:uniqueId val="{00000001-62AE-437F-9C70-28997673AD4B}"/>
              </c:ext>
            </c:extLst>
          </c:dPt>
          <c:dPt>
            <c:idx val="4"/>
            <c:bubble3D val="0"/>
            <c:spPr>
              <a:solidFill>
                <a:schemeClr val="accent5"/>
              </a:solidFill>
              <a:ln>
                <a:noFill/>
              </a:ln>
              <a:effectLst/>
            </c:spPr>
            <c:extLst>
              <c:ext xmlns:c16="http://schemas.microsoft.com/office/drawing/2014/chart" uri="{C3380CC4-5D6E-409C-BE32-E72D297353CC}">
                <c16:uniqueId val="{00000009-FAB0-4A46-85AE-D8854A5E5B48}"/>
              </c:ext>
            </c:extLst>
          </c:dPt>
          <c:dLbls>
            <c:dLbl>
              <c:idx val="0"/>
              <c:layout>
                <c:manualLayout>
                  <c:x val="0.16617790811339198"/>
                  <c:y val="-0.1037344398340249"/>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62AE-437F-9C70-28997673AD4B}"/>
                </c:ext>
              </c:extLst>
            </c:dLbl>
            <c:dLbl>
              <c:idx val="1"/>
              <c:layout>
                <c:manualLayout>
                  <c:x val="0.14662756598240459"/>
                  <c:y val="8.2987551867219914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62AE-437F-9C70-28997673AD4B}"/>
                </c:ext>
              </c:extLst>
            </c:dLbl>
            <c:dLbl>
              <c:idx val="2"/>
              <c:layout>
                <c:manualLayout>
                  <c:x val="-0.1270772238514174"/>
                  <c:y val="8.2987551867219914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62AE-437F-9C70-28997673AD4B}"/>
                </c:ext>
              </c:extLst>
            </c:dLbl>
            <c:dLbl>
              <c:idx val="3"/>
              <c:layout>
                <c:manualLayout>
                  <c:x val="-0.14173998044965788"/>
                  <c:y val="-9.6818810511756573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62AE-437F-9C70-28997673AD4B}"/>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Analysis!$A$4:$A$9</c:f>
              <c:strCache>
                <c:ptCount val="5"/>
                <c:pt idx="0">
                  <c:v>Electronics</c:v>
                </c:pt>
                <c:pt idx="1">
                  <c:v>Furniture</c:v>
                </c:pt>
                <c:pt idx="2">
                  <c:v>Grocery</c:v>
                </c:pt>
                <c:pt idx="3">
                  <c:v>Stationery</c:v>
                </c:pt>
                <c:pt idx="4">
                  <c:v>(blank)</c:v>
                </c:pt>
              </c:strCache>
            </c:strRef>
          </c:cat>
          <c:val>
            <c:numRef>
              <c:f>Analysis!$B$4:$B$9</c:f>
              <c:numCache>
                <c:formatCode>General</c:formatCode>
                <c:ptCount val="5"/>
                <c:pt idx="0">
                  <c:v>22</c:v>
                </c:pt>
                <c:pt idx="1">
                  <c:v>20</c:v>
                </c:pt>
                <c:pt idx="2">
                  <c:v>21</c:v>
                </c:pt>
                <c:pt idx="3">
                  <c:v>20</c:v>
                </c:pt>
              </c:numCache>
            </c:numRef>
          </c:val>
          <c:extLst>
            <c:ext xmlns:c16="http://schemas.microsoft.com/office/drawing/2014/chart" uri="{C3380CC4-5D6E-409C-BE32-E72D297353CC}">
              <c16:uniqueId val="{00000000-62AE-437F-9C70-28997673AD4B}"/>
            </c:ext>
          </c:extLst>
        </c:ser>
        <c:dLbls>
          <c:showLegendKey val="0"/>
          <c:showVal val="0"/>
          <c:showCatName val="0"/>
          <c:showSerName val="0"/>
          <c:showPercent val="0"/>
          <c:showBubbleSize val="0"/>
          <c:showLeaderLines val="1"/>
        </c:dLbls>
        <c:firstSliceAng val="4"/>
        <c:holeSize val="63"/>
      </c:doughnutChart>
      <c:spPr>
        <a:noFill/>
        <a:ln>
          <a:noFill/>
        </a:ln>
        <a:effectLst/>
      </c:spPr>
    </c:plotArea>
    <c:legend>
      <c:legendPos val="r"/>
      <c:legendEntry>
        <c:idx val="4"/>
        <c:delete val="1"/>
      </c:legendEntry>
      <c:layout>
        <c:manualLayout>
          <c:xMode val="edge"/>
          <c:yMode val="edge"/>
          <c:x val="0.69867139419447444"/>
          <c:y val="0.41057804836464346"/>
          <c:w val="0.30132849962669622"/>
          <c:h val="0.58351030809945437"/>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macros project-2 (Recovered)(AutoRecovered).xlsm]Analysis!PivotTable3</c:name>
    <c:fmtId val="11"/>
  </c:pivotSource>
  <c:chart>
    <c:autoTitleDeleted val="1"/>
    <c:pivotFmts>
      <c:pivotFmt>
        <c:idx val="0"/>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5400">
            <a:solidFill>
              <a:schemeClr val="lt1"/>
            </a:solidFill>
          </a:ln>
          <a:effectLst/>
          <a:sp3d contourW="25400">
            <a:contourClr>
              <a:schemeClr val="lt1"/>
            </a:contourClr>
          </a:sp3d>
        </c:spPr>
      </c:pivotFmt>
      <c:pivotFmt>
        <c:idx val="3"/>
        <c:spPr>
          <a:solidFill>
            <a:schemeClr val="accent1"/>
          </a:solidFill>
          <a:ln w="25400">
            <a:solidFill>
              <a:schemeClr val="lt1"/>
            </a:solidFill>
          </a:ln>
          <a:effectLst/>
          <a:sp3d contourW="25400">
            <a:contourClr>
              <a:schemeClr val="lt1"/>
            </a:contourClr>
          </a:sp3d>
        </c:spPr>
      </c:pivotFmt>
      <c:pivotFmt>
        <c:idx val="4"/>
        <c:spPr>
          <a:solidFill>
            <a:schemeClr val="accent1"/>
          </a:solidFill>
          <a:ln w="25400">
            <a:solidFill>
              <a:schemeClr val="lt1"/>
            </a:solidFill>
          </a:ln>
          <a:effectLst/>
          <a:sp3d contourW="25400">
            <a:contourClr>
              <a:schemeClr val="lt1"/>
            </a:contourClr>
          </a:sp3d>
        </c:spPr>
      </c:pivotFmt>
      <c:pivotFmt>
        <c:idx val="5"/>
        <c:spPr>
          <a:solidFill>
            <a:schemeClr val="accent1"/>
          </a:solidFill>
          <a:ln w="25400">
            <a:solidFill>
              <a:schemeClr val="lt1"/>
            </a:solidFill>
          </a:ln>
          <a:effectLst/>
          <a:sp3d contourW="25400">
            <a:contourClr>
              <a:schemeClr val="lt1"/>
            </a:contourClr>
          </a:sp3d>
        </c:spPr>
      </c:pivotFmt>
      <c:pivotFmt>
        <c:idx val="6"/>
        <c:spPr>
          <a:solidFill>
            <a:schemeClr val="accent1"/>
          </a:solidFill>
          <a:ln w="25400">
            <a:solidFill>
              <a:schemeClr val="lt1"/>
            </a:solidFill>
          </a:ln>
          <a:effectLst/>
          <a:sp3d contourW="25400">
            <a:contourClr>
              <a:schemeClr val="lt1"/>
            </a:contourClr>
          </a:sp3d>
        </c:spPr>
      </c:pivotFmt>
      <c:pivotFmt>
        <c:idx val="7"/>
        <c:spPr>
          <a:gradFill>
            <a:gsLst>
              <a:gs pos="34000">
                <a:srgbClr val="FF0000"/>
              </a:gs>
              <a:gs pos="100000">
                <a:schemeClr val="accent1">
                  <a:lumMod val="30000"/>
                  <a:lumOff val="70000"/>
                </a:schemeClr>
              </a:gs>
            </a:gsLst>
            <a:lin ang="5400000" scaled="1"/>
          </a:gra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
        <c:spPr>
          <a:gradFill>
            <a:gsLst>
              <a:gs pos="38000">
                <a:srgbClr val="92D050"/>
              </a:gs>
              <a:gs pos="100000">
                <a:schemeClr val="accent1">
                  <a:lumMod val="30000"/>
                  <a:lumOff val="70000"/>
                </a:schemeClr>
              </a:gs>
            </a:gsLst>
            <a:lin ang="5400000" scaled="1"/>
          </a:gradFill>
          <a:ln w="25400">
            <a:solidFill>
              <a:schemeClr val="lt1"/>
            </a:solidFill>
          </a:ln>
          <a:effectLst/>
          <a:sp3d contourW="25400">
            <a:contourClr>
              <a:schemeClr val="lt1"/>
            </a:contourClr>
          </a:sp3d>
        </c:spPr>
        <c:dLbl>
          <c:idx val="0"/>
          <c:layout>
            <c:manualLayout>
              <c:x val="4.4572657816436642E-2"/>
              <c:y val="-5.3541272457221919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
        <c:spPr>
          <a:gradFill>
            <a:gsLst>
              <a:gs pos="34000">
                <a:schemeClr val="tx1">
                  <a:lumMod val="65000"/>
                  <a:lumOff val="35000"/>
                </a:schemeClr>
              </a:gs>
              <a:gs pos="100000">
                <a:schemeClr val="accent1">
                  <a:lumMod val="30000"/>
                  <a:lumOff val="70000"/>
                </a:schemeClr>
              </a:gs>
            </a:gsLst>
            <a:lin ang="5400000" scaled="1"/>
          </a:gradFill>
          <a:ln w="25400">
            <a:solidFill>
              <a:schemeClr val="lt1"/>
            </a:solidFill>
          </a:ln>
          <a:effectLst/>
          <a:sp3d contourW="25400">
            <a:contourClr>
              <a:schemeClr val="lt1"/>
            </a:contourClr>
          </a:sp3d>
        </c:spPr>
        <c:dLbl>
          <c:idx val="0"/>
          <c:layout>
            <c:manualLayout>
              <c:x val="-2.8620615073449894E-2"/>
              <c:y val="-6.6120368674845876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0"/>
        <c:spPr>
          <a:gradFill>
            <a:gsLst>
              <a:gs pos="28000">
                <a:srgbClr val="00B0F0"/>
              </a:gs>
              <a:gs pos="100000">
                <a:schemeClr val="accent1">
                  <a:lumMod val="30000"/>
                  <a:lumOff val="70000"/>
                </a:schemeClr>
              </a:gs>
            </a:gsLst>
            <a:lin ang="5400000" scaled="1"/>
          </a:gradFill>
          <a:ln w="25400">
            <a:solidFill>
              <a:schemeClr val="lt1"/>
            </a:solidFill>
          </a:ln>
          <a:effectLst/>
          <a:sp3d contourW="25400">
            <a:contourClr>
              <a:schemeClr val="lt1"/>
            </a:contourClr>
          </a:sp3d>
        </c:spPr>
        <c:dLbl>
          <c:idx val="0"/>
          <c:layout>
            <c:manualLayout>
              <c:x val="-0.15362295331123699"/>
              <c:y val="2.333719912917861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1"/>
        <c:spPr>
          <a:gradFill>
            <a:gsLst>
              <a:gs pos="34000">
                <a:srgbClr val="FF0000"/>
              </a:gs>
              <a:gs pos="100000">
                <a:schemeClr val="accent1">
                  <a:lumMod val="30000"/>
                  <a:lumOff val="70000"/>
                </a:schemeClr>
              </a:gs>
            </a:gsLst>
            <a:lin ang="5400000" scaled="1"/>
          </a:gradFill>
          <a:ln w="25400">
            <a:solidFill>
              <a:schemeClr val="lt1"/>
            </a:solidFill>
          </a:ln>
          <a:effectLst/>
          <a:sp3d contourW="25400">
            <a:contourClr>
              <a:schemeClr val="lt1"/>
            </a:contourClr>
          </a:sp3d>
        </c:spPr>
        <c:dLbl>
          <c:idx val="0"/>
          <c:layout>
            <c:manualLayout>
              <c:x val="0.10425179313610297"/>
              <c:y val="-1.374849946082321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2"/>
        <c:spPr>
          <a:gradFill>
            <a:gsLst>
              <a:gs pos="34000">
                <a:srgbClr val="FF0000"/>
              </a:gs>
              <a:gs pos="100000">
                <a:schemeClr val="accent1">
                  <a:lumMod val="30000"/>
                  <a:lumOff val="70000"/>
                </a:schemeClr>
              </a:gs>
            </a:gsLst>
            <a:lin ang="5400000" scaled="1"/>
          </a:gradFill>
          <a:ln w="25400">
            <a:solidFill>
              <a:schemeClr val="lt1"/>
            </a:solidFill>
          </a:ln>
          <a:effectLst/>
          <a:sp3d contourW="25400">
            <a:contourClr>
              <a:schemeClr val="lt1"/>
            </a:contourClr>
          </a:sp3d>
        </c:spPr>
      </c:pivotFmt>
    </c:pivotFmts>
    <c:view3D>
      <c:rotX val="4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8.5316451256510537E-2"/>
          <c:y val="0.1723188671183544"/>
          <c:w val="0.5930945992552713"/>
          <c:h val="0.73288164560825242"/>
        </c:manualLayout>
      </c:layout>
      <c:pie3DChart>
        <c:varyColors val="1"/>
        <c:ser>
          <c:idx val="0"/>
          <c:order val="0"/>
          <c:tx>
            <c:strRef>
              <c:f>Analysis!$B$16</c:f>
              <c:strCache>
                <c:ptCount val="1"/>
                <c:pt idx="0">
                  <c:v>Total</c:v>
                </c:pt>
              </c:strCache>
            </c:strRef>
          </c:tx>
          <c:spPr>
            <a:gradFill>
              <a:gsLst>
                <a:gs pos="34000">
                  <a:srgbClr val="FF0000"/>
                </a:gs>
                <a:gs pos="100000">
                  <a:schemeClr val="accent1">
                    <a:lumMod val="30000"/>
                    <a:lumOff val="70000"/>
                  </a:schemeClr>
                </a:gs>
              </a:gsLst>
              <a:lin ang="5400000" scaled="1"/>
            </a:gradFill>
          </c:spPr>
          <c:dPt>
            <c:idx val="0"/>
            <c:bubble3D val="0"/>
            <c:spPr>
              <a:gradFill>
                <a:gsLst>
                  <a:gs pos="38000">
                    <a:srgbClr val="92D050"/>
                  </a:gs>
                  <a:gs pos="100000">
                    <a:schemeClr val="accent1">
                      <a:lumMod val="30000"/>
                      <a:lumOff val="70000"/>
                    </a:schemeClr>
                  </a:gs>
                </a:gsLst>
                <a:lin ang="5400000" scaled="1"/>
              </a:gradFill>
              <a:ln w="25400">
                <a:solidFill>
                  <a:schemeClr val="lt1"/>
                </a:solidFill>
              </a:ln>
              <a:effectLst/>
              <a:sp3d contourW="25400">
                <a:contourClr>
                  <a:schemeClr val="lt1"/>
                </a:contourClr>
              </a:sp3d>
            </c:spPr>
            <c:extLst>
              <c:ext xmlns:c16="http://schemas.microsoft.com/office/drawing/2014/chart" uri="{C3380CC4-5D6E-409C-BE32-E72D297353CC}">
                <c16:uniqueId val="{00000001-EB28-4EDF-B962-DFBB6025D0C4}"/>
              </c:ext>
            </c:extLst>
          </c:dPt>
          <c:dPt>
            <c:idx val="1"/>
            <c:bubble3D val="0"/>
            <c:spPr>
              <a:gradFill>
                <a:gsLst>
                  <a:gs pos="34000">
                    <a:schemeClr val="tx1">
                      <a:lumMod val="65000"/>
                      <a:lumOff val="35000"/>
                    </a:schemeClr>
                  </a:gs>
                  <a:gs pos="100000">
                    <a:schemeClr val="accent1">
                      <a:lumMod val="30000"/>
                      <a:lumOff val="70000"/>
                    </a:schemeClr>
                  </a:gs>
                </a:gsLst>
                <a:lin ang="5400000" scaled="1"/>
              </a:gradFill>
              <a:ln w="25400">
                <a:solidFill>
                  <a:schemeClr val="lt1"/>
                </a:solidFill>
              </a:ln>
              <a:effectLst/>
              <a:sp3d contourW="25400">
                <a:contourClr>
                  <a:schemeClr val="lt1"/>
                </a:contourClr>
              </a:sp3d>
            </c:spPr>
            <c:extLst>
              <c:ext xmlns:c16="http://schemas.microsoft.com/office/drawing/2014/chart" uri="{C3380CC4-5D6E-409C-BE32-E72D297353CC}">
                <c16:uniqueId val="{00000003-EB28-4EDF-B962-DFBB6025D0C4}"/>
              </c:ext>
            </c:extLst>
          </c:dPt>
          <c:dPt>
            <c:idx val="2"/>
            <c:bubble3D val="0"/>
            <c:spPr>
              <a:gradFill>
                <a:gsLst>
                  <a:gs pos="28000">
                    <a:srgbClr val="00B0F0"/>
                  </a:gs>
                  <a:gs pos="100000">
                    <a:schemeClr val="accent1">
                      <a:lumMod val="30000"/>
                      <a:lumOff val="70000"/>
                    </a:schemeClr>
                  </a:gs>
                </a:gsLst>
                <a:lin ang="5400000" scaled="1"/>
              </a:gradFill>
              <a:ln w="25400">
                <a:solidFill>
                  <a:schemeClr val="lt1"/>
                </a:solidFill>
              </a:ln>
              <a:effectLst/>
              <a:sp3d contourW="25400">
                <a:contourClr>
                  <a:schemeClr val="lt1"/>
                </a:contourClr>
              </a:sp3d>
            </c:spPr>
            <c:extLst>
              <c:ext xmlns:c16="http://schemas.microsoft.com/office/drawing/2014/chart" uri="{C3380CC4-5D6E-409C-BE32-E72D297353CC}">
                <c16:uniqueId val="{00000005-EB28-4EDF-B962-DFBB6025D0C4}"/>
              </c:ext>
            </c:extLst>
          </c:dPt>
          <c:dPt>
            <c:idx val="3"/>
            <c:bubble3D val="0"/>
            <c:spPr>
              <a:gradFill>
                <a:gsLst>
                  <a:gs pos="34000">
                    <a:srgbClr val="FF0000"/>
                  </a:gs>
                  <a:gs pos="100000">
                    <a:schemeClr val="accent1">
                      <a:lumMod val="30000"/>
                      <a:lumOff val="70000"/>
                    </a:schemeClr>
                  </a:gs>
                </a:gsLst>
                <a:lin ang="5400000" scaled="1"/>
              </a:gradFill>
              <a:ln w="25400">
                <a:solidFill>
                  <a:schemeClr val="lt1"/>
                </a:solidFill>
              </a:ln>
              <a:effectLst/>
              <a:sp3d contourW="25400">
                <a:contourClr>
                  <a:schemeClr val="lt1"/>
                </a:contourClr>
              </a:sp3d>
            </c:spPr>
            <c:extLst>
              <c:ext xmlns:c16="http://schemas.microsoft.com/office/drawing/2014/chart" uri="{C3380CC4-5D6E-409C-BE32-E72D297353CC}">
                <c16:uniqueId val="{00000007-EB28-4EDF-B962-DFBB6025D0C4}"/>
              </c:ext>
            </c:extLst>
          </c:dPt>
          <c:dPt>
            <c:idx val="4"/>
            <c:bubble3D val="0"/>
            <c:spPr>
              <a:gradFill>
                <a:gsLst>
                  <a:gs pos="34000">
                    <a:srgbClr val="FF0000"/>
                  </a:gs>
                  <a:gs pos="100000">
                    <a:schemeClr val="accent1">
                      <a:lumMod val="30000"/>
                      <a:lumOff val="70000"/>
                    </a:schemeClr>
                  </a:gs>
                </a:gsLst>
                <a:lin ang="5400000" scaled="1"/>
              </a:gradFill>
              <a:ln w="25400">
                <a:solidFill>
                  <a:schemeClr val="lt1"/>
                </a:solidFill>
              </a:ln>
              <a:effectLst/>
              <a:sp3d contourW="25400">
                <a:contourClr>
                  <a:schemeClr val="lt1"/>
                </a:contourClr>
              </a:sp3d>
            </c:spPr>
            <c:extLst>
              <c:ext xmlns:c16="http://schemas.microsoft.com/office/drawing/2014/chart" uri="{C3380CC4-5D6E-409C-BE32-E72D297353CC}">
                <c16:uniqueId val="{00000009-EB28-4EDF-B962-DFBB6025D0C4}"/>
              </c:ext>
            </c:extLst>
          </c:dPt>
          <c:dLbls>
            <c:dLbl>
              <c:idx val="0"/>
              <c:layout>
                <c:manualLayout>
                  <c:x val="4.4572657816436642E-2"/>
                  <c:y val="-5.3541272457221919E-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EB28-4EDF-B962-DFBB6025D0C4}"/>
                </c:ext>
              </c:extLst>
            </c:dLbl>
            <c:dLbl>
              <c:idx val="1"/>
              <c:layout>
                <c:manualLayout>
                  <c:x val="-2.8620615073449894E-2"/>
                  <c:y val="-6.6120368674845876E-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EB28-4EDF-B962-DFBB6025D0C4}"/>
                </c:ext>
              </c:extLst>
            </c:dLbl>
            <c:dLbl>
              <c:idx val="2"/>
              <c:layout>
                <c:manualLayout>
                  <c:x val="-0.15362295331123699"/>
                  <c:y val="2.3337199129178619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EB28-4EDF-B962-DFBB6025D0C4}"/>
                </c:ext>
              </c:extLst>
            </c:dLbl>
            <c:dLbl>
              <c:idx val="3"/>
              <c:layout>
                <c:manualLayout>
                  <c:x val="0.10425179313610297"/>
                  <c:y val="-1.374849946082321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EB28-4EDF-B962-DFBB6025D0C4}"/>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Analysis!$A$17:$A$22</c:f>
              <c:strCache>
                <c:ptCount val="5"/>
                <c:pt idx="0">
                  <c:v>Electronics</c:v>
                </c:pt>
                <c:pt idx="1">
                  <c:v>Furniture</c:v>
                </c:pt>
                <c:pt idx="2">
                  <c:v>Grocery</c:v>
                </c:pt>
                <c:pt idx="3">
                  <c:v>Stationery</c:v>
                </c:pt>
                <c:pt idx="4">
                  <c:v>(blank)</c:v>
                </c:pt>
              </c:strCache>
            </c:strRef>
          </c:cat>
          <c:val>
            <c:numRef>
              <c:f>Analysis!$B$17:$B$22</c:f>
              <c:numCache>
                <c:formatCode>General</c:formatCode>
                <c:ptCount val="5"/>
                <c:pt idx="0">
                  <c:v>55000</c:v>
                </c:pt>
                <c:pt idx="1">
                  <c:v>128330</c:v>
                </c:pt>
                <c:pt idx="2">
                  <c:v>9066</c:v>
                </c:pt>
                <c:pt idx="3">
                  <c:v>2755</c:v>
                </c:pt>
              </c:numCache>
            </c:numRef>
          </c:val>
          <c:extLst>
            <c:ext xmlns:c16="http://schemas.microsoft.com/office/drawing/2014/chart" uri="{C3380CC4-5D6E-409C-BE32-E72D297353CC}">
              <c16:uniqueId val="{0000000A-EB28-4EDF-B962-DFBB6025D0C4}"/>
            </c:ext>
          </c:extLst>
        </c:ser>
        <c:dLbls>
          <c:showLegendKey val="0"/>
          <c:showVal val="0"/>
          <c:showCatName val="0"/>
          <c:showSerName val="0"/>
          <c:showPercent val="0"/>
          <c:showBubbleSize val="0"/>
          <c:showLeaderLines val="1"/>
        </c:dLbls>
      </c:pie3DChart>
      <c:spPr>
        <a:noFill/>
        <a:ln>
          <a:noFill/>
        </a:ln>
        <a:effectLst/>
      </c:spPr>
    </c:plotArea>
    <c:legend>
      <c:legendPos val="r"/>
      <c:legendEntry>
        <c:idx val="4"/>
        <c:delete val="1"/>
      </c:legendEntry>
      <c:layout>
        <c:manualLayout>
          <c:xMode val="edge"/>
          <c:yMode val="edge"/>
          <c:x val="0.70804821446316979"/>
          <c:y val="0.22746902276750289"/>
          <c:w val="0.26968007061478116"/>
          <c:h val="0.54506195446499417"/>
        </c:manualLayout>
      </c:layout>
      <c:overlay val="0"/>
      <c:spPr>
        <a:noFill/>
        <a:ln>
          <a:noFill/>
        </a:ln>
        <a:effectLst/>
      </c:spPr>
      <c:txPr>
        <a:bodyPr rot="0" spcFirstLastPara="1" vertOverflow="ellipsis" vert="horz" wrap="square" anchor="ctr" anchorCtr="1"/>
        <a:lstStyle/>
        <a:p>
          <a:pPr>
            <a:defRPr sz="900" b="0" i="0" u="none" strike="noStrike" kern="1200" baseline="0">
              <a:ln>
                <a:noFill/>
              </a:ln>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macros project-2 (Recovered)(AutoRecovered).xlsm]Analysis!PivotTable1</c:name>
    <c:fmtId val="3"/>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a:gsLst>
              <a:gs pos="38000">
                <a:schemeClr val="accent4">
                  <a:lumMod val="75000"/>
                </a:schemeClr>
              </a:gs>
              <a:gs pos="100000">
                <a:schemeClr val="accent1">
                  <a:lumMod val="30000"/>
                  <a:lumOff val="70000"/>
                </a:schemeClr>
              </a:gs>
            </a:gsLst>
            <a:lin ang="5400000" scaled="1"/>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gradFill>
            <a:gsLst>
              <a:gs pos="38000">
                <a:schemeClr val="accent4">
                  <a:lumMod val="75000"/>
                </a:schemeClr>
              </a:gs>
              <a:gs pos="100000">
                <a:schemeClr val="accent1">
                  <a:lumMod val="30000"/>
                  <a:lumOff val="70000"/>
                </a:schemeClr>
              </a:gs>
            </a:gsLst>
            <a:lin ang="5400000" scaled="1"/>
          </a:gradFill>
          <a:ln>
            <a:noFill/>
          </a:ln>
          <a:effectLst/>
          <a:sp3d/>
        </c:spPr>
        <c:dLbl>
          <c:idx val="0"/>
          <c:layout>
            <c:manualLayout>
              <c:x val="4.3137254901960784E-2"/>
              <c:y val="-0.22697795071335927"/>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gradFill>
            <a:gsLst>
              <a:gs pos="38000">
                <a:schemeClr val="accent4">
                  <a:lumMod val="75000"/>
                </a:schemeClr>
              </a:gs>
              <a:gs pos="100000">
                <a:schemeClr val="accent1">
                  <a:lumMod val="30000"/>
                  <a:lumOff val="70000"/>
                </a:schemeClr>
              </a:gs>
            </a:gsLst>
            <a:lin ang="5400000" scaled="1"/>
          </a:gradFill>
          <a:ln>
            <a:noFill/>
          </a:ln>
          <a:effectLst/>
          <a:sp3d/>
        </c:spPr>
        <c:dLbl>
          <c:idx val="0"/>
          <c:layout>
            <c:manualLayout>
              <c:x val="2.7450980392156862E-2"/>
              <c:y val="-0.3307392996108949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gradFill>
            <a:gsLst>
              <a:gs pos="38000">
                <a:schemeClr val="accent4">
                  <a:lumMod val="75000"/>
                </a:schemeClr>
              </a:gs>
              <a:gs pos="100000">
                <a:schemeClr val="accent1">
                  <a:lumMod val="30000"/>
                  <a:lumOff val="70000"/>
                </a:schemeClr>
              </a:gs>
            </a:gsLst>
            <a:lin ang="5400000" scaled="1"/>
          </a:gradFill>
          <a:ln>
            <a:noFill/>
          </a:ln>
          <a:effectLst/>
          <a:sp3d/>
        </c:spPr>
        <c:dLbl>
          <c:idx val="0"/>
          <c:layout>
            <c:manualLayout>
              <c:x val="1.9607843137254829E-2"/>
              <c:y val="-0.32425421530479898"/>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
        <c:spPr>
          <a:gradFill>
            <a:gsLst>
              <a:gs pos="38000">
                <a:schemeClr val="accent4">
                  <a:lumMod val="75000"/>
                </a:schemeClr>
              </a:gs>
              <a:gs pos="100000">
                <a:schemeClr val="accent1">
                  <a:lumMod val="30000"/>
                  <a:lumOff val="70000"/>
                </a:schemeClr>
              </a:gs>
            </a:gsLst>
            <a:lin ang="5400000" scaled="1"/>
          </a:gradFill>
          <a:ln>
            <a:noFill/>
          </a:ln>
          <a:effectLst/>
          <a:sp3d/>
        </c:spPr>
        <c:dLbl>
          <c:idx val="0"/>
          <c:layout>
            <c:manualLayout>
              <c:x val="5.4901960784313725E-2"/>
              <c:y val="-0.30479896238651105"/>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
        <c:spPr>
          <a:gradFill>
            <a:gsLst>
              <a:gs pos="38000">
                <a:schemeClr val="accent4">
                  <a:lumMod val="75000"/>
                </a:schemeClr>
              </a:gs>
              <a:gs pos="100000">
                <a:schemeClr val="accent1">
                  <a:lumMod val="30000"/>
                  <a:lumOff val="70000"/>
                </a:schemeClr>
              </a:gs>
            </a:gsLst>
            <a:lin ang="5400000" scaled="1"/>
          </a:gradFill>
          <a:ln>
            <a:noFill/>
          </a:ln>
          <a:effectLst/>
          <a:sp3d/>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30"/>
      <c:rotY val="3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0.12505555874858709"/>
          <c:y val="0.14709368715274229"/>
          <c:w val="0.82879403988734979"/>
          <c:h val="0.61673764514844209"/>
        </c:manualLayout>
      </c:layout>
      <c:area3DChart>
        <c:grouping val="stacked"/>
        <c:varyColors val="0"/>
        <c:ser>
          <c:idx val="0"/>
          <c:order val="0"/>
          <c:tx>
            <c:strRef>
              <c:f>Analysis!$B$27</c:f>
              <c:strCache>
                <c:ptCount val="1"/>
                <c:pt idx="0">
                  <c:v>Total</c:v>
                </c:pt>
              </c:strCache>
            </c:strRef>
          </c:tx>
          <c:spPr>
            <a:gradFill>
              <a:gsLst>
                <a:gs pos="38000">
                  <a:schemeClr val="accent4">
                    <a:lumMod val="75000"/>
                  </a:schemeClr>
                </a:gs>
                <a:gs pos="100000">
                  <a:schemeClr val="accent1">
                    <a:lumMod val="30000"/>
                    <a:lumOff val="70000"/>
                  </a:schemeClr>
                </a:gs>
              </a:gsLst>
              <a:lin ang="5400000" scaled="1"/>
            </a:gradFill>
            <a:ln>
              <a:noFill/>
            </a:ln>
            <a:effectLst/>
            <a:sp3d/>
          </c:spPr>
          <c:dPt>
            <c:idx val="0"/>
            <c:bubble3D val="0"/>
            <c:extLst>
              <c:ext xmlns:c16="http://schemas.microsoft.com/office/drawing/2014/chart" uri="{C3380CC4-5D6E-409C-BE32-E72D297353CC}">
                <c16:uniqueId val="{00000001-006D-4348-B698-98E987E894F6}"/>
              </c:ext>
            </c:extLst>
          </c:dPt>
          <c:dPt>
            <c:idx val="1"/>
            <c:bubble3D val="0"/>
            <c:extLst>
              <c:ext xmlns:c16="http://schemas.microsoft.com/office/drawing/2014/chart" uri="{C3380CC4-5D6E-409C-BE32-E72D297353CC}">
                <c16:uniqueId val="{00000002-006D-4348-B698-98E987E894F6}"/>
              </c:ext>
            </c:extLst>
          </c:dPt>
          <c:dPt>
            <c:idx val="2"/>
            <c:bubble3D val="0"/>
            <c:extLst>
              <c:ext xmlns:c16="http://schemas.microsoft.com/office/drawing/2014/chart" uri="{C3380CC4-5D6E-409C-BE32-E72D297353CC}">
                <c16:uniqueId val="{00000003-006D-4348-B698-98E987E894F6}"/>
              </c:ext>
            </c:extLst>
          </c:dPt>
          <c:dPt>
            <c:idx val="3"/>
            <c:bubble3D val="0"/>
            <c:extLst>
              <c:ext xmlns:c16="http://schemas.microsoft.com/office/drawing/2014/chart" uri="{C3380CC4-5D6E-409C-BE32-E72D297353CC}">
                <c16:uniqueId val="{00000004-006D-4348-B698-98E987E894F6}"/>
              </c:ext>
            </c:extLst>
          </c:dPt>
          <c:dPt>
            <c:idx val="4"/>
            <c:bubble3D val="0"/>
            <c:extLst>
              <c:ext xmlns:c16="http://schemas.microsoft.com/office/drawing/2014/chart" uri="{C3380CC4-5D6E-409C-BE32-E72D297353CC}">
                <c16:uniqueId val="{00000005-006D-4348-B698-98E987E894F6}"/>
              </c:ext>
            </c:extLst>
          </c:dPt>
          <c:dLbls>
            <c:dLbl>
              <c:idx val="0"/>
              <c:layout>
                <c:manualLayout>
                  <c:x val="4.3137254901960784E-2"/>
                  <c:y val="-0.22697795071335927"/>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006D-4348-B698-98E987E894F6}"/>
                </c:ext>
              </c:extLst>
            </c:dLbl>
            <c:dLbl>
              <c:idx val="1"/>
              <c:layout>
                <c:manualLayout>
                  <c:x val="2.7450980392156862E-2"/>
                  <c:y val="-0.3307392996108949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006D-4348-B698-98E987E894F6}"/>
                </c:ext>
              </c:extLst>
            </c:dLbl>
            <c:dLbl>
              <c:idx val="2"/>
              <c:layout>
                <c:manualLayout>
                  <c:x val="1.9607843137254829E-2"/>
                  <c:y val="-0.32425421530479898"/>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006D-4348-B698-98E987E894F6}"/>
                </c:ext>
              </c:extLst>
            </c:dLbl>
            <c:dLbl>
              <c:idx val="3"/>
              <c:layout>
                <c:manualLayout>
                  <c:x val="5.4901960784313725E-2"/>
                  <c:y val="-0.30479896238651105"/>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006D-4348-B698-98E987E894F6}"/>
                </c:ext>
              </c:extLst>
            </c:dLbl>
            <c:dLbl>
              <c:idx val="4"/>
              <c:delete val="1"/>
              <c:extLst>
                <c:ext xmlns:c15="http://schemas.microsoft.com/office/drawing/2012/chart" uri="{CE6537A1-D6FC-4f65-9D91-7224C49458BB}"/>
                <c:ext xmlns:c16="http://schemas.microsoft.com/office/drawing/2014/chart" uri="{C3380CC4-5D6E-409C-BE32-E72D297353CC}">
                  <c16:uniqueId val="{00000005-006D-4348-B698-98E987E894F6}"/>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Analysis!$A$28:$A$33</c:f>
              <c:strCache>
                <c:ptCount val="5"/>
                <c:pt idx="0">
                  <c:v>Electronics</c:v>
                </c:pt>
                <c:pt idx="1">
                  <c:v>Furniture</c:v>
                </c:pt>
                <c:pt idx="2">
                  <c:v>Grocery</c:v>
                </c:pt>
                <c:pt idx="3">
                  <c:v>Stationery</c:v>
                </c:pt>
                <c:pt idx="4">
                  <c:v>(blank)</c:v>
                </c:pt>
              </c:strCache>
            </c:strRef>
          </c:cat>
          <c:val>
            <c:numRef>
              <c:f>Analysis!$B$28:$B$33</c:f>
              <c:numCache>
                <c:formatCode>General</c:formatCode>
                <c:ptCount val="5"/>
                <c:pt idx="0">
                  <c:v>7</c:v>
                </c:pt>
                <c:pt idx="1">
                  <c:v>3</c:v>
                </c:pt>
                <c:pt idx="2">
                  <c:v>6</c:v>
                </c:pt>
                <c:pt idx="3">
                  <c:v>10</c:v>
                </c:pt>
              </c:numCache>
            </c:numRef>
          </c:val>
          <c:extLst>
            <c:ext xmlns:c16="http://schemas.microsoft.com/office/drawing/2014/chart" uri="{C3380CC4-5D6E-409C-BE32-E72D297353CC}">
              <c16:uniqueId val="{00000000-006D-4348-B698-98E987E894F6}"/>
            </c:ext>
          </c:extLst>
        </c:ser>
        <c:dLbls>
          <c:showLegendKey val="0"/>
          <c:showVal val="0"/>
          <c:showCatName val="0"/>
          <c:showSerName val="0"/>
          <c:showPercent val="0"/>
          <c:showBubbleSize val="0"/>
        </c:dLbls>
        <c:axId val="1231989231"/>
        <c:axId val="1231990191"/>
        <c:axId val="0"/>
      </c:area3DChart>
      <c:catAx>
        <c:axId val="123198923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rgbClr val="220006"/>
                </a:solidFill>
                <a:latin typeface="+mn-lt"/>
                <a:ea typeface="+mn-ea"/>
                <a:cs typeface="+mn-cs"/>
              </a:defRPr>
            </a:pPr>
            <a:endParaRPr lang="en-US"/>
          </a:p>
        </c:txPr>
        <c:crossAx val="1231990191"/>
        <c:crosses val="autoZero"/>
        <c:auto val="1"/>
        <c:lblAlgn val="ctr"/>
        <c:lblOffset val="100"/>
        <c:noMultiLvlLbl val="0"/>
      </c:catAx>
      <c:valAx>
        <c:axId val="1231990191"/>
        <c:scaling>
          <c:orientation val="minMax"/>
        </c:scaling>
        <c:delete val="0"/>
        <c:axPos val="l"/>
        <c:majorGridlines>
          <c:spPr>
            <a:ln w="9525" cap="flat" cmpd="sng" algn="ctr">
              <a:no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rgbClr val="220006"/>
                </a:solidFill>
                <a:latin typeface="+mn-lt"/>
                <a:ea typeface="+mn-ea"/>
                <a:cs typeface="+mn-cs"/>
              </a:defRPr>
            </a:pPr>
            <a:endParaRPr lang="en-US"/>
          </a:p>
        </c:txPr>
        <c:crossAx val="1231989231"/>
        <c:crosses val="autoZero"/>
        <c:crossBetween val="midCat"/>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macros project-2 (Recovered)(AutoRecovered).xlsm]Analysis!PivotTable7</c:name>
    <c:fmtId val="5"/>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flip="none" rotWithShape="1">
            <a:gsLst>
              <a:gs pos="18000">
                <a:srgbClr val="7030A0"/>
              </a:gs>
              <a:gs pos="100000">
                <a:schemeClr val="accent1">
                  <a:lumMod val="30000"/>
                  <a:lumOff val="70000"/>
                </a:schemeClr>
              </a:gs>
            </a:gsLst>
            <a:path path="circle">
              <a:fillToRect l="100000" t="100000"/>
            </a:path>
            <a:tileRect r="-100000" b="-10000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8E32E9"/>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Analysis!$B$74</c:f>
              <c:strCache>
                <c:ptCount val="1"/>
                <c:pt idx="0">
                  <c:v>Total</c:v>
                </c:pt>
              </c:strCache>
            </c:strRef>
          </c:tx>
          <c:spPr>
            <a:gradFill flip="none" rotWithShape="1">
              <a:gsLst>
                <a:gs pos="18000">
                  <a:srgbClr val="7030A0"/>
                </a:gs>
                <a:gs pos="100000">
                  <a:schemeClr val="accent1">
                    <a:lumMod val="30000"/>
                    <a:lumOff val="70000"/>
                  </a:schemeClr>
                </a:gs>
              </a:gsLst>
              <a:path path="circle">
                <a:fillToRect l="100000" t="100000"/>
              </a:path>
              <a:tileRect r="-100000" b="-100000"/>
            </a:gra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8E32E9"/>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Analysis!$A$75:$A$79</c:f>
              <c:strCache>
                <c:ptCount val="4"/>
                <c:pt idx="0">
                  <c:v>P025</c:v>
                </c:pt>
                <c:pt idx="1">
                  <c:v>P028</c:v>
                </c:pt>
                <c:pt idx="2">
                  <c:v>P035</c:v>
                </c:pt>
                <c:pt idx="3">
                  <c:v>P040</c:v>
                </c:pt>
              </c:strCache>
            </c:strRef>
          </c:cat>
          <c:val>
            <c:numRef>
              <c:f>Analysis!$B$75:$B$79</c:f>
              <c:numCache>
                <c:formatCode>General</c:formatCode>
                <c:ptCount val="4"/>
                <c:pt idx="0">
                  <c:v>-5</c:v>
                </c:pt>
                <c:pt idx="1">
                  <c:v>-9</c:v>
                </c:pt>
                <c:pt idx="2">
                  <c:v>-5</c:v>
                </c:pt>
                <c:pt idx="3">
                  <c:v>-11</c:v>
                </c:pt>
              </c:numCache>
            </c:numRef>
          </c:val>
          <c:extLst>
            <c:ext xmlns:c16="http://schemas.microsoft.com/office/drawing/2014/chart" uri="{C3380CC4-5D6E-409C-BE32-E72D297353CC}">
              <c16:uniqueId val="{00000000-53F5-4B8B-A3B4-C5654D0CA744}"/>
            </c:ext>
          </c:extLst>
        </c:ser>
        <c:dLbls>
          <c:showLegendKey val="0"/>
          <c:showVal val="0"/>
          <c:showCatName val="0"/>
          <c:showSerName val="0"/>
          <c:showPercent val="0"/>
          <c:showBubbleSize val="0"/>
        </c:dLbls>
        <c:gapWidth val="219"/>
        <c:axId val="1129401391"/>
        <c:axId val="1129392271"/>
      </c:barChart>
      <c:catAx>
        <c:axId val="1129401391"/>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lumMod val="95000"/>
                  </a:schemeClr>
                </a:solidFill>
                <a:latin typeface="+mn-lt"/>
                <a:ea typeface="+mn-ea"/>
                <a:cs typeface="+mn-cs"/>
              </a:defRPr>
            </a:pPr>
            <a:endParaRPr lang="en-US"/>
          </a:p>
        </c:txPr>
        <c:crossAx val="1129392271"/>
        <c:crosses val="autoZero"/>
        <c:auto val="1"/>
        <c:lblAlgn val="ctr"/>
        <c:lblOffset val="100"/>
        <c:noMultiLvlLbl val="0"/>
      </c:catAx>
      <c:valAx>
        <c:axId val="1129392271"/>
        <c:scaling>
          <c:orientation val="minMax"/>
        </c:scaling>
        <c:delete val="0"/>
        <c:axPos val="b"/>
        <c:majorGridlines>
          <c:spPr>
            <a:ln w="9525" cap="flat" cmpd="sng" algn="ctr">
              <a:no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29401391"/>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macros project-2 (Recovered)(AutoRecovered).xlsm]Analysis!PivotTable8</c:name>
    <c:fmtId val="7"/>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413C62"/>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w="25400">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ln w="28575" cap="rnd">
            <a:gradFill>
              <a:gsLst>
                <a:gs pos="0">
                  <a:schemeClr val="accent1">
                    <a:lumMod val="5000"/>
                    <a:lumOff val="95000"/>
                  </a:schemeClr>
                </a:gs>
                <a:gs pos="75000">
                  <a:schemeClr val="accent4">
                    <a:lumMod val="50000"/>
                  </a:schemeClr>
                </a:gs>
              </a:gsLst>
              <a:lin ang="5400000" scaled="1"/>
            </a:gradFill>
            <a:round/>
          </a:ln>
          <a:effectLst/>
        </c:spPr>
        <c:marker>
          <c:symbol val="circle"/>
          <c:size val="5"/>
          <c:spPr>
            <a:no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ln w="28575" cap="rnd">
            <a:gradFill>
              <a:gsLst>
                <a:gs pos="0">
                  <a:schemeClr val="accent1">
                    <a:lumMod val="5000"/>
                    <a:lumOff val="95000"/>
                  </a:schemeClr>
                </a:gs>
                <a:gs pos="75000">
                  <a:schemeClr val="accent4">
                    <a:lumMod val="50000"/>
                  </a:schemeClr>
                </a:gs>
              </a:gsLst>
              <a:lin ang="5400000" scaled="1"/>
            </a:gradFill>
            <a:round/>
          </a:ln>
          <a:effectLst/>
        </c:spPr>
        <c:marker>
          <c:symbol val="circle"/>
          <c:size val="5"/>
          <c:spPr>
            <a:noFill/>
            <a:ln w="9525">
              <a:solidFill>
                <a:schemeClr val="accent1"/>
              </a:solidFill>
            </a:ln>
            <a:effectLst/>
          </c:spPr>
        </c:marker>
        <c:dLbl>
          <c:idx val="0"/>
          <c:layout>
            <c:manualLayout>
              <c:x val="-2.7123480177434546E-3"/>
              <c:y val="-7.419809305058496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8"/>
        <c:spPr>
          <a:ln w="28575" cap="rnd">
            <a:gradFill>
              <a:gsLst>
                <a:gs pos="0">
                  <a:schemeClr val="accent1">
                    <a:lumMod val="5000"/>
                    <a:lumOff val="95000"/>
                  </a:schemeClr>
                </a:gs>
                <a:gs pos="75000">
                  <a:schemeClr val="accent4">
                    <a:lumMod val="50000"/>
                  </a:schemeClr>
                </a:gs>
              </a:gsLst>
              <a:lin ang="5400000" scaled="1"/>
            </a:gradFill>
            <a:round/>
          </a:ln>
          <a:effectLst/>
        </c:spPr>
        <c:marker>
          <c:symbol val="circle"/>
          <c:size val="5"/>
          <c:spPr>
            <a:noFill/>
            <a:ln w="9525">
              <a:solidFill>
                <a:schemeClr val="accent1"/>
              </a:solidFill>
            </a:ln>
            <a:effectLst/>
          </c:spPr>
        </c:marker>
        <c:dLbl>
          <c:idx val="0"/>
          <c:layout>
            <c:manualLayout>
              <c:x val="5.4246960354869091E-3"/>
              <c:y val="-0.1377964585225148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9"/>
        <c:spPr>
          <a:ln w="28575" cap="rnd">
            <a:gradFill>
              <a:gsLst>
                <a:gs pos="0">
                  <a:schemeClr val="accent1">
                    <a:lumMod val="5000"/>
                    <a:lumOff val="95000"/>
                  </a:schemeClr>
                </a:gs>
                <a:gs pos="75000">
                  <a:schemeClr val="accent4">
                    <a:lumMod val="50000"/>
                  </a:schemeClr>
                </a:gs>
              </a:gsLst>
              <a:lin ang="5400000" scaled="1"/>
            </a:gradFill>
            <a:round/>
          </a:ln>
          <a:effectLst/>
        </c:spPr>
        <c:marker>
          <c:symbol val="circle"/>
          <c:size val="5"/>
          <c:spPr>
            <a:noFill/>
            <a:ln w="9525">
              <a:solidFill>
                <a:schemeClr val="accent1"/>
              </a:solidFill>
            </a:ln>
            <a:effectLst/>
          </c:spPr>
        </c:marker>
        <c:dLbl>
          <c:idx val="0"/>
          <c:layout>
            <c:manualLayout>
              <c:x val="-5.4246960354869091E-3"/>
              <c:y val="-9.5397548207894881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0"/>
        <c:spPr>
          <a:ln w="28575" cap="rnd">
            <a:gradFill>
              <a:gsLst>
                <a:gs pos="0">
                  <a:schemeClr val="accent1">
                    <a:lumMod val="5000"/>
                    <a:lumOff val="95000"/>
                  </a:schemeClr>
                </a:gs>
                <a:gs pos="75000">
                  <a:schemeClr val="accent4">
                    <a:lumMod val="50000"/>
                  </a:schemeClr>
                </a:gs>
              </a:gsLst>
              <a:lin ang="5400000" scaled="1"/>
            </a:gradFill>
            <a:round/>
          </a:ln>
          <a:effectLst/>
        </c:spPr>
        <c:marker>
          <c:symbol val="circle"/>
          <c:size val="5"/>
          <c:spPr>
            <a:noFill/>
            <a:ln w="9525">
              <a:solidFill>
                <a:schemeClr val="accent1"/>
              </a:solidFill>
            </a:ln>
            <a:effectLst/>
          </c:spPr>
        </c:marker>
        <c:dLbl>
          <c:idx val="0"/>
          <c:layout>
            <c:manualLayout>
              <c:x val="-5.4246960354869091E-3"/>
              <c:y val="-9.5397548207894881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1"/>
        <c:spPr>
          <a:ln w="28575" cap="rnd">
            <a:gradFill>
              <a:gsLst>
                <a:gs pos="0">
                  <a:schemeClr val="accent1">
                    <a:lumMod val="5000"/>
                    <a:lumOff val="95000"/>
                  </a:schemeClr>
                </a:gs>
                <a:gs pos="75000">
                  <a:schemeClr val="accent4">
                    <a:lumMod val="50000"/>
                  </a:schemeClr>
                </a:gs>
              </a:gsLst>
              <a:lin ang="5400000" scaled="1"/>
            </a:gradFill>
            <a:round/>
          </a:ln>
          <a:effectLst/>
        </c:spPr>
        <c:marker>
          <c:symbol val="circle"/>
          <c:size val="5"/>
          <c:spPr>
            <a:noFill/>
            <a:ln w="9525">
              <a:solidFill>
                <a:schemeClr val="accent1"/>
              </a:solidFill>
            </a:ln>
            <a:effectLst/>
          </c:spPr>
        </c:marker>
        <c:dLbl>
          <c:idx val="0"/>
          <c:layout>
            <c:manualLayout>
              <c:x val="-9.9451611777087545E-17"/>
              <c:y val="-8.4797820629239934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7.7380939668410115E-2"/>
          <c:y val="5.8298501682602429E-2"/>
          <c:w val="0.85204333776848507"/>
          <c:h val="0.46110400753164893"/>
        </c:manualLayout>
      </c:layout>
      <c:lineChart>
        <c:grouping val="standard"/>
        <c:varyColors val="0"/>
        <c:ser>
          <c:idx val="0"/>
          <c:order val="0"/>
          <c:tx>
            <c:strRef>
              <c:f>Analysis!$K$71</c:f>
              <c:strCache>
                <c:ptCount val="1"/>
                <c:pt idx="0">
                  <c:v>Total</c:v>
                </c:pt>
              </c:strCache>
            </c:strRef>
          </c:tx>
          <c:spPr>
            <a:ln w="28575" cap="rnd">
              <a:gradFill>
                <a:gsLst>
                  <a:gs pos="0">
                    <a:schemeClr val="accent1">
                      <a:lumMod val="5000"/>
                      <a:lumOff val="95000"/>
                    </a:schemeClr>
                  </a:gs>
                  <a:gs pos="75000">
                    <a:schemeClr val="accent4">
                      <a:lumMod val="50000"/>
                    </a:schemeClr>
                  </a:gs>
                </a:gsLst>
                <a:lin ang="5400000" scaled="1"/>
              </a:gradFill>
              <a:round/>
            </a:ln>
            <a:effectLst/>
          </c:spPr>
          <c:marker>
            <c:symbol val="circle"/>
            <c:size val="5"/>
            <c:spPr>
              <a:noFill/>
              <a:ln w="9525">
                <a:solidFill>
                  <a:schemeClr val="accent1"/>
                </a:solidFill>
              </a:ln>
              <a:effectLst/>
            </c:spPr>
          </c:marker>
          <c:dPt>
            <c:idx val="0"/>
            <c:marker>
              <c:symbol val="circle"/>
              <c:size val="5"/>
              <c:spPr>
                <a:noFill/>
                <a:ln w="9525">
                  <a:solidFill>
                    <a:schemeClr val="accent1"/>
                  </a:solidFill>
                </a:ln>
                <a:effectLst/>
              </c:spPr>
            </c:marker>
            <c:bubble3D val="0"/>
            <c:spPr>
              <a:ln w="28575" cap="rnd">
                <a:gradFill>
                  <a:gsLst>
                    <a:gs pos="0">
                      <a:schemeClr val="accent1">
                        <a:lumMod val="5000"/>
                        <a:lumOff val="95000"/>
                      </a:schemeClr>
                    </a:gs>
                    <a:gs pos="75000">
                      <a:schemeClr val="accent4">
                        <a:lumMod val="50000"/>
                      </a:schemeClr>
                    </a:gs>
                  </a:gsLst>
                  <a:lin ang="5400000" scaled="1"/>
                </a:gradFill>
                <a:round/>
              </a:ln>
              <a:effectLst/>
            </c:spPr>
            <c:extLst>
              <c:ext xmlns:c16="http://schemas.microsoft.com/office/drawing/2014/chart" uri="{C3380CC4-5D6E-409C-BE32-E72D297353CC}">
                <c16:uniqueId val="{0000000E-94FF-4BDF-9C8E-61CFD9B68589}"/>
              </c:ext>
            </c:extLst>
          </c:dPt>
          <c:dPt>
            <c:idx val="4"/>
            <c:marker>
              <c:symbol val="circle"/>
              <c:size val="5"/>
              <c:spPr>
                <a:noFill/>
                <a:ln w="9525">
                  <a:solidFill>
                    <a:schemeClr val="accent1"/>
                  </a:solidFill>
                </a:ln>
                <a:effectLst/>
              </c:spPr>
            </c:marker>
            <c:bubble3D val="0"/>
            <c:spPr>
              <a:ln w="28575" cap="rnd">
                <a:gradFill>
                  <a:gsLst>
                    <a:gs pos="0">
                      <a:schemeClr val="accent1">
                        <a:lumMod val="5000"/>
                        <a:lumOff val="95000"/>
                      </a:schemeClr>
                    </a:gs>
                    <a:gs pos="75000">
                      <a:schemeClr val="accent4">
                        <a:lumMod val="50000"/>
                      </a:schemeClr>
                    </a:gs>
                  </a:gsLst>
                  <a:lin ang="5400000" scaled="1"/>
                </a:gradFill>
                <a:round/>
              </a:ln>
              <a:effectLst/>
            </c:spPr>
            <c:extLst>
              <c:ext xmlns:c16="http://schemas.microsoft.com/office/drawing/2014/chart" uri="{C3380CC4-5D6E-409C-BE32-E72D297353CC}">
                <c16:uniqueId val="{0000000F-94FF-4BDF-9C8E-61CFD9B68589}"/>
              </c:ext>
            </c:extLst>
          </c:dPt>
          <c:dPt>
            <c:idx val="5"/>
            <c:marker>
              <c:symbol val="circle"/>
              <c:size val="5"/>
              <c:spPr>
                <a:noFill/>
                <a:ln w="9525">
                  <a:solidFill>
                    <a:schemeClr val="accent1"/>
                  </a:solidFill>
                </a:ln>
                <a:effectLst/>
              </c:spPr>
            </c:marker>
            <c:bubble3D val="0"/>
            <c:spPr>
              <a:ln w="28575" cap="rnd">
                <a:gradFill>
                  <a:gsLst>
                    <a:gs pos="0">
                      <a:schemeClr val="accent1">
                        <a:lumMod val="5000"/>
                        <a:lumOff val="95000"/>
                      </a:schemeClr>
                    </a:gs>
                    <a:gs pos="75000">
                      <a:schemeClr val="accent4">
                        <a:lumMod val="50000"/>
                      </a:schemeClr>
                    </a:gs>
                  </a:gsLst>
                  <a:lin ang="5400000" scaled="1"/>
                </a:gradFill>
                <a:round/>
              </a:ln>
              <a:effectLst/>
            </c:spPr>
            <c:extLst>
              <c:ext xmlns:c16="http://schemas.microsoft.com/office/drawing/2014/chart" uri="{C3380CC4-5D6E-409C-BE32-E72D297353CC}">
                <c16:uniqueId val="{00000010-94FF-4BDF-9C8E-61CFD9B68589}"/>
              </c:ext>
            </c:extLst>
          </c:dPt>
          <c:dPt>
            <c:idx val="6"/>
            <c:marker>
              <c:symbol val="circle"/>
              <c:size val="5"/>
              <c:spPr>
                <a:noFill/>
                <a:ln w="9525">
                  <a:solidFill>
                    <a:schemeClr val="accent1"/>
                  </a:solidFill>
                </a:ln>
                <a:effectLst/>
              </c:spPr>
            </c:marker>
            <c:bubble3D val="0"/>
            <c:spPr>
              <a:ln w="28575" cap="rnd">
                <a:gradFill>
                  <a:gsLst>
                    <a:gs pos="0">
                      <a:schemeClr val="accent1">
                        <a:lumMod val="5000"/>
                        <a:lumOff val="95000"/>
                      </a:schemeClr>
                    </a:gs>
                    <a:gs pos="75000">
                      <a:schemeClr val="accent4">
                        <a:lumMod val="50000"/>
                      </a:schemeClr>
                    </a:gs>
                  </a:gsLst>
                  <a:lin ang="5400000" scaled="1"/>
                </a:gradFill>
                <a:round/>
              </a:ln>
              <a:effectLst/>
            </c:spPr>
            <c:extLst>
              <c:ext xmlns:c16="http://schemas.microsoft.com/office/drawing/2014/chart" uri="{C3380CC4-5D6E-409C-BE32-E72D297353CC}">
                <c16:uniqueId val="{00000011-94FF-4BDF-9C8E-61CFD9B68589}"/>
              </c:ext>
            </c:extLst>
          </c:dPt>
          <c:dPt>
            <c:idx val="7"/>
            <c:marker>
              <c:symbol val="circle"/>
              <c:size val="5"/>
              <c:spPr>
                <a:noFill/>
                <a:ln w="9525">
                  <a:solidFill>
                    <a:schemeClr val="accent1"/>
                  </a:solidFill>
                </a:ln>
                <a:effectLst/>
              </c:spPr>
            </c:marker>
            <c:bubble3D val="0"/>
            <c:spPr>
              <a:ln w="28575" cap="rnd">
                <a:gradFill>
                  <a:gsLst>
                    <a:gs pos="0">
                      <a:schemeClr val="accent1">
                        <a:lumMod val="5000"/>
                        <a:lumOff val="95000"/>
                      </a:schemeClr>
                    </a:gs>
                    <a:gs pos="75000">
                      <a:schemeClr val="accent4">
                        <a:lumMod val="50000"/>
                      </a:schemeClr>
                    </a:gs>
                  </a:gsLst>
                  <a:lin ang="5400000" scaled="1"/>
                </a:gradFill>
                <a:round/>
              </a:ln>
              <a:effectLst/>
            </c:spPr>
            <c:extLst>
              <c:ext xmlns:c16="http://schemas.microsoft.com/office/drawing/2014/chart" uri="{C3380CC4-5D6E-409C-BE32-E72D297353CC}">
                <c16:uniqueId val="{00000012-94FF-4BDF-9C8E-61CFD9B68589}"/>
              </c:ext>
            </c:extLst>
          </c:dPt>
          <c:dLbls>
            <c:dLbl>
              <c:idx val="0"/>
              <c:layout>
                <c:manualLayout>
                  <c:x val="-2.7123480177434546E-3"/>
                  <c:y val="-7.419809305058496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E-94FF-4BDF-9C8E-61CFD9B68589}"/>
                </c:ext>
              </c:extLst>
            </c:dLbl>
            <c:dLbl>
              <c:idx val="4"/>
              <c:layout>
                <c:manualLayout>
                  <c:x val="5.4246960354869091E-3"/>
                  <c:y val="-0.1377964585225148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F-94FF-4BDF-9C8E-61CFD9B68589}"/>
                </c:ext>
              </c:extLst>
            </c:dLbl>
            <c:dLbl>
              <c:idx val="5"/>
              <c:layout>
                <c:manualLayout>
                  <c:x val="-5.4246960354869091E-3"/>
                  <c:y val="-9.5397548207894881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0-94FF-4BDF-9C8E-61CFD9B68589}"/>
                </c:ext>
              </c:extLst>
            </c:dLbl>
            <c:dLbl>
              <c:idx val="6"/>
              <c:layout>
                <c:manualLayout>
                  <c:x val="-5.4246960354869091E-3"/>
                  <c:y val="-9.5397548207894881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1-94FF-4BDF-9C8E-61CFD9B68589}"/>
                </c:ext>
              </c:extLst>
            </c:dLbl>
            <c:dLbl>
              <c:idx val="7"/>
              <c:layout>
                <c:manualLayout>
                  <c:x val="-9.9451611777087545E-17"/>
                  <c:y val="-8.4797820629239934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2-94FF-4BDF-9C8E-61CFD9B68589}"/>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Analysis!$J$72:$J$84</c:f>
              <c:multiLvlStrCache>
                <c:ptCount val="9"/>
                <c:lvl>
                  <c:pt idx="0">
                    <c:v>05-01-2026</c:v>
                  </c:pt>
                  <c:pt idx="1">
                    <c:v>07-01-2026</c:v>
                  </c:pt>
                  <c:pt idx="2">
                    <c:v>08-01-2026</c:v>
                  </c:pt>
                  <c:pt idx="3">
                    <c:v>10-01-2026</c:v>
                  </c:pt>
                  <c:pt idx="4">
                    <c:v>05-01-2026</c:v>
                  </c:pt>
                  <c:pt idx="5">
                    <c:v>07-01-2026</c:v>
                  </c:pt>
                  <c:pt idx="6">
                    <c:v>08-01-2026</c:v>
                  </c:pt>
                  <c:pt idx="7">
                    <c:v>09-01-2026</c:v>
                  </c:pt>
                  <c:pt idx="8">
                    <c:v>(blank)</c:v>
                  </c:pt>
                </c:lvl>
                <c:lvl>
                  <c:pt idx="0">
                    <c:v>IN</c:v>
                  </c:pt>
                  <c:pt idx="4">
                    <c:v>OUT</c:v>
                  </c:pt>
                  <c:pt idx="8">
                    <c:v>(blank)</c:v>
                  </c:pt>
                </c:lvl>
              </c:multiLvlStrCache>
            </c:multiLvlStrRef>
          </c:cat>
          <c:val>
            <c:numRef>
              <c:f>Analysis!$K$72:$K$84</c:f>
              <c:numCache>
                <c:formatCode>General</c:formatCode>
                <c:ptCount val="9"/>
                <c:pt idx="0">
                  <c:v>4</c:v>
                </c:pt>
                <c:pt idx="1">
                  <c:v>1</c:v>
                </c:pt>
                <c:pt idx="2">
                  <c:v>6</c:v>
                </c:pt>
                <c:pt idx="3">
                  <c:v>8</c:v>
                </c:pt>
                <c:pt idx="4">
                  <c:v>4</c:v>
                </c:pt>
                <c:pt idx="5">
                  <c:v>1</c:v>
                </c:pt>
                <c:pt idx="6">
                  <c:v>2</c:v>
                </c:pt>
                <c:pt idx="7">
                  <c:v>2</c:v>
                </c:pt>
              </c:numCache>
            </c:numRef>
          </c:val>
          <c:smooth val="0"/>
          <c:extLst>
            <c:ext xmlns:c16="http://schemas.microsoft.com/office/drawing/2014/chart" uri="{C3380CC4-5D6E-409C-BE32-E72D297353CC}">
              <c16:uniqueId val="{00000000-94FF-4BDF-9C8E-61CFD9B68589}"/>
            </c:ext>
          </c:extLst>
        </c:ser>
        <c:dLbls>
          <c:showLegendKey val="0"/>
          <c:showVal val="0"/>
          <c:showCatName val="0"/>
          <c:showSerName val="0"/>
          <c:showPercent val="0"/>
          <c:showBubbleSize val="0"/>
        </c:dLbls>
        <c:marker val="1"/>
        <c:smooth val="0"/>
        <c:axId val="550521936"/>
        <c:axId val="550523856"/>
      </c:lineChart>
      <c:catAx>
        <c:axId val="5505219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a:outerShdw blurRad="50800" dist="50800" dir="5400000" algn="ctr" rotWithShape="0">
              <a:srgbClr val="000000">
                <a:alpha val="67000"/>
              </a:srgbClr>
            </a:outerShdw>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0523856"/>
        <c:crosses val="autoZero"/>
        <c:auto val="1"/>
        <c:lblAlgn val="ctr"/>
        <c:lblOffset val="100"/>
        <c:noMultiLvlLbl val="0"/>
      </c:catAx>
      <c:valAx>
        <c:axId val="550523856"/>
        <c:scaling>
          <c:orientation val="minMax"/>
        </c:scaling>
        <c:delete val="0"/>
        <c:axPos val="l"/>
        <c:majorGridlines>
          <c:spPr>
            <a:ln w="9525" cap="flat" cmpd="sng" algn="ctr">
              <a:no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0521936"/>
        <c:crosses val="autoZero"/>
        <c:crossBetween val="between"/>
      </c:valAx>
      <c:spPr>
        <a:noFill/>
        <a:ln>
          <a:noFill/>
        </a:ln>
        <a:effectLst>
          <a:outerShdw blurRad="50800" dist="50800" dir="5400000" algn="ctr" rotWithShape="0">
            <a:srgbClr val="000000">
              <a:alpha val="0"/>
            </a:srgbClr>
          </a:outerShdw>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sVisible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macros project-2 (Recovered)(AutoRecovered).xlsm]Analysis!PivotTable2</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Analysis!$B$3</c:f>
              <c:strCache>
                <c:ptCount val="1"/>
                <c:pt idx="0">
                  <c:v>Total</c:v>
                </c:pt>
              </c:strCache>
            </c:strRef>
          </c:tx>
          <c:spPr>
            <a:solidFill>
              <a:schemeClr val="accent1"/>
            </a:solidFill>
            <a:ln>
              <a:noFill/>
            </a:ln>
            <a:effectLst/>
          </c:spPr>
          <c:invertIfNegative val="0"/>
          <c:cat>
            <c:strRef>
              <c:f>Analysis!$A$4:$A$9</c:f>
              <c:strCache>
                <c:ptCount val="5"/>
                <c:pt idx="0">
                  <c:v>Electronics</c:v>
                </c:pt>
                <c:pt idx="1">
                  <c:v>Furniture</c:v>
                </c:pt>
                <c:pt idx="2">
                  <c:v>Grocery</c:v>
                </c:pt>
                <c:pt idx="3">
                  <c:v>Stationery</c:v>
                </c:pt>
                <c:pt idx="4">
                  <c:v>(blank)</c:v>
                </c:pt>
              </c:strCache>
            </c:strRef>
          </c:cat>
          <c:val>
            <c:numRef>
              <c:f>Analysis!$B$4:$B$9</c:f>
              <c:numCache>
                <c:formatCode>General</c:formatCode>
                <c:ptCount val="5"/>
                <c:pt idx="0">
                  <c:v>22</c:v>
                </c:pt>
                <c:pt idx="1">
                  <c:v>20</c:v>
                </c:pt>
                <c:pt idx="2">
                  <c:v>21</c:v>
                </c:pt>
                <c:pt idx="3">
                  <c:v>20</c:v>
                </c:pt>
              </c:numCache>
            </c:numRef>
          </c:val>
          <c:extLst>
            <c:ext xmlns:c16="http://schemas.microsoft.com/office/drawing/2014/chart" uri="{C3380CC4-5D6E-409C-BE32-E72D297353CC}">
              <c16:uniqueId val="{00000000-A590-4AB3-BD58-51731200019D}"/>
            </c:ext>
          </c:extLst>
        </c:ser>
        <c:dLbls>
          <c:showLegendKey val="0"/>
          <c:showVal val="0"/>
          <c:showCatName val="0"/>
          <c:showSerName val="0"/>
          <c:showPercent val="0"/>
          <c:showBubbleSize val="0"/>
        </c:dLbls>
        <c:gapWidth val="219"/>
        <c:overlap val="-27"/>
        <c:axId val="1238277440"/>
        <c:axId val="1238280320"/>
      </c:barChart>
      <c:catAx>
        <c:axId val="12382774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38280320"/>
        <c:crosses val="autoZero"/>
        <c:auto val="1"/>
        <c:lblAlgn val="ctr"/>
        <c:lblOffset val="100"/>
        <c:noMultiLvlLbl val="0"/>
      </c:catAx>
      <c:valAx>
        <c:axId val="123828032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3827744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macros project-2 (Recovered)(AutoRecovered).xlsm]Analysis!PivotTable3</c:name>
    <c:fmtId val="8"/>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5400">
            <a:solidFill>
              <a:schemeClr val="lt1"/>
            </a:solidFill>
          </a:ln>
          <a:effectLst/>
          <a:sp3d contourW="25400">
            <a:contourClr>
              <a:schemeClr val="lt1"/>
            </a:contourClr>
          </a:sp3d>
        </c:spPr>
      </c:pivotFmt>
      <c:pivotFmt>
        <c:idx val="2"/>
        <c:spPr>
          <a:solidFill>
            <a:schemeClr val="accent1"/>
          </a:solidFill>
          <a:ln w="25400">
            <a:solidFill>
              <a:schemeClr val="lt1"/>
            </a:solidFill>
          </a:ln>
          <a:effectLst/>
          <a:sp3d contourW="25400">
            <a:contourClr>
              <a:schemeClr val="lt1"/>
            </a:contourClr>
          </a:sp3d>
        </c:spPr>
      </c:pivotFmt>
      <c:pivotFmt>
        <c:idx val="3"/>
        <c:spPr>
          <a:solidFill>
            <a:schemeClr val="accent1"/>
          </a:solidFill>
          <a:ln w="25400">
            <a:solidFill>
              <a:schemeClr val="lt1"/>
            </a:solidFill>
          </a:ln>
          <a:effectLst/>
          <a:sp3d contourW="25400">
            <a:contourClr>
              <a:schemeClr val="lt1"/>
            </a:contourClr>
          </a:sp3d>
        </c:spPr>
      </c:pivotFmt>
      <c:pivotFmt>
        <c:idx val="4"/>
        <c:spPr>
          <a:solidFill>
            <a:schemeClr val="accent1"/>
          </a:solidFill>
          <a:ln w="25400">
            <a:solidFill>
              <a:schemeClr val="lt1"/>
            </a:solidFill>
          </a:ln>
          <a:effectLst/>
          <a:sp3d contourW="25400">
            <a:contourClr>
              <a:schemeClr val="lt1"/>
            </a:contourClr>
          </a:sp3d>
        </c:spPr>
      </c:pivotFmt>
      <c:pivotFmt>
        <c:idx val="5"/>
        <c:spPr>
          <a:solidFill>
            <a:schemeClr val="accent1"/>
          </a:solidFill>
          <a:ln w="25400">
            <a:solidFill>
              <a:schemeClr val="lt1"/>
            </a:solidFill>
          </a:ln>
          <a:effectLst/>
          <a:sp3d contourW="25400">
            <a:contourClr>
              <a:schemeClr val="lt1"/>
            </a:contourClr>
          </a:sp3d>
        </c:spPr>
      </c:pivotFmt>
    </c:pivotFmts>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tx>
            <c:strRef>
              <c:f>Analysis!$B$16</c:f>
              <c:strCache>
                <c:ptCount val="1"/>
                <c:pt idx="0">
                  <c:v>Total</c:v>
                </c:pt>
              </c:strCache>
            </c:strRef>
          </c:tx>
          <c:dPt>
            <c:idx val="0"/>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001-016F-4C1A-8025-55B1CABD082E}"/>
              </c:ext>
            </c:extLst>
          </c:dPt>
          <c:dPt>
            <c:idx val="1"/>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003-016F-4C1A-8025-55B1CABD082E}"/>
              </c:ext>
            </c:extLst>
          </c:dPt>
          <c:dPt>
            <c:idx val="2"/>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005-016F-4C1A-8025-55B1CABD082E}"/>
              </c:ext>
            </c:extLst>
          </c:dPt>
          <c:dPt>
            <c:idx val="3"/>
            <c:bubble3D val="0"/>
            <c:spPr>
              <a:solidFill>
                <a:schemeClr val="accent4"/>
              </a:solidFill>
              <a:ln w="25400">
                <a:solidFill>
                  <a:schemeClr val="lt1"/>
                </a:solidFill>
              </a:ln>
              <a:effectLst/>
              <a:sp3d contourW="25400">
                <a:contourClr>
                  <a:schemeClr val="lt1"/>
                </a:contourClr>
              </a:sp3d>
            </c:spPr>
            <c:extLst>
              <c:ext xmlns:c16="http://schemas.microsoft.com/office/drawing/2014/chart" uri="{C3380CC4-5D6E-409C-BE32-E72D297353CC}">
                <c16:uniqueId val="{00000007-016F-4C1A-8025-55B1CABD082E}"/>
              </c:ext>
            </c:extLst>
          </c:dPt>
          <c:dPt>
            <c:idx val="4"/>
            <c:bubble3D val="0"/>
            <c:spPr>
              <a:solidFill>
                <a:schemeClr val="accent5"/>
              </a:solidFill>
              <a:ln w="25400">
                <a:solidFill>
                  <a:schemeClr val="lt1"/>
                </a:solidFill>
              </a:ln>
              <a:effectLst/>
              <a:sp3d contourW="25400">
                <a:contourClr>
                  <a:schemeClr val="lt1"/>
                </a:contourClr>
              </a:sp3d>
            </c:spPr>
            <c:extLst>
              <c:ext xmlns:c16="http://schemas.microsoft.com/office/drawing/2014/chart" uri="{C3380CC4-5D6E-409C-BE32-E72D297353CC}">
                <c16:uniqueId val="{00000009-016F-4C1A-8025-55B1CABD082E}"/>
              </c:ext>
            </c:extLst>
          </c:dPt>
          <c:cat>
            <c:strRef>
              <c:f>Analysis!$A$17:$A$22</c:f>
              <c:strCache>
                <c:ptCount val="5"/>
                <c:pt idx="0">
                  <c:v>Electronics</c:v>
                </c:pt>
                <c:pt idx="1">
                  <c:v>Furniture</c:v>
                </c:pt>
                <c:pt idx="2">
                  <c:v>Grocery</c:v>
                </c:pt>
                <c:pt idx="3">
                  <c:v>Stationery</c:v>
                </c:pt>
                <c:pt idx="4">
                  <c:v>(blank)</c:v>
                </c:pt>
              </c:strCache>
            </c:strRef>
          </c:cat>
          <c:val>
            <c:numRef>
              <c:f>Analysis!$B$17:$B$22</c:f>
              <c:numCache>
                <c:formatCode>General</c:formatCode>
                <c:ptCount val="5"/>
                <c:pt idx="0">
                  <c:v>55000</c:v>
                </c:pt>
                <c:pt idx="1">
                  <c:v>128330</c:v>
                </c:pt>
                <c:pt idx="2">
                  <c:v>9066</c:v>
                </c:pt>
                <c:pt idx="3">
                  <c:v>2755</c:v>
                </c:pt>
              </c:numCache>
            </c:numRef>
          </c:val>
          <c:extLst>
            <c:ext xmlns:c16="http://schemas.microsoft.com/office/drawing/2014/chart" uri="{C3380CC4-5D6E-409C-BE32-E72D297353CC}">
              <c16:uniqueId val="{00000000-15E9-42A4-9258-4285AB10503F}"/>
            </c:ext>
          </c:extLst>
        </c:ser>
        <c:dLbls>
          <c:showLegendKey val="0"/>
          <c:showVal val="0"/>
          <c:showCatName val="0"/>
          <c:showSerName val="0"/>
          <c:showPercent val="0"/>
          <c:showBubbleSize val="0"/>
          <c:showLeaderLines val="1"/>
        </c:dLbls>
      </c:pie3D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macros project-2 (Recovered)(AutoRecovered).xlsm]Analysis!PivotTable1</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Analysis!$B$27</c:f>
              <c:strCache>
                <c:ptCount val="1"/>
                <c:pt idx="0">
                  <c:v>Total</c:v>
                </c:pt>
              </c:strCache>
            </c:strRef>
          </c:tx>
          <c:spPr>
            <a:solidFill>
              <a:schemeClr val="accent1"/>
            </a:solidFill>
            <a:ln>
              <a:noFill/>
            </a:ln>
            <a:effectLst/>
          </c:spPr>
          <c:invertIfNegative val="0"/>
          <c:cat>
            <c:strRef>
              <c:f>Analysis!$A$28:$A$33</c:f>
              <c:strCache>
                <c:ptCount val="5"/>
                <c:pt idx="0">
                  <c:v>Electronics</c:v>
                </c:pt>
                <c:pt idx="1">
                  <c:v>Furniture</c:v>
                </c:pt>
                <c:pt idx="2">
                  <c:v>Grocery</c:v>
                </c:pt>
                <c:pt idx="3">
                  <c:v>Stationery</c:v>
                </c:pt>
                <c:pt idx="4">
                  <c:v>(blank)</c:v>
                </c:pt>
              </c:strCache>
            </c:strRef>
          </c:cat>
          <c:val>
            <c:numRef>
              <c:f>Analysis!$B$28:$B$33</c:f>
              <c:numCache>
                <c:formatCode>General</c:formatCode>
                <c:ptCount val="5"/>
                <c:pt idx="0">
                  <c:v>7</c:v>
                </c:pt>
                <c:pt idx="1">
                  <c:v>3</c:v>
                </c:pt>
                <c:pt idx="2">
                  <c:v>6</c:v>
                </c:pt>
                <c:pt idx="3">
                  <c:v>10</c:v>
                </c:pt>
              </c:numCache>
            </c:numRef>
          </c:val>
          <c:extLst>
            <c:ext xmlns:c16="http://schemas.microsoft.com/office/drawing/2014/chart" uri="{C3380CC4-5D6E-409C-BE32-E72D297353CC}">
              <c16:uniqueId val="{00000000-9A23-42BE-9320-40D60D4CF978}"/>
            </c:ext>
          </c:extLst>
        </c:ser>
        <c:dLbls>
          <c:showLegendKey val="0"/>
          <c:showVal val="0"/>
          <c:showCatName val="0"/>
          <c:showSerName val="0"/>
          <c:showPercent val="0"/>
          <c:showBubbleSize val="0"/>
        </c:dLbls>
        <c:gapWidth val="219"/>
        <c:overlap val="-27"/>
        <c:axId val="1231989231"/>
        <c:axId val="1231990191"/>
      </c:barChart>
      <c:catAx>
        <c:axId val="123198923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31990191"/>
        <c:crosses val="autoZero"/>
        <c:auto val="1"/>
        <c:lblAlgn val="ctr"/>
        <c:lblOffset val="100"/>
        <c:noMultiLvlLbl val="0"/>
      </c:catAx>
      <c:valAx>
        <c:axId val="123199019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31989231"/>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macros project-2 (Recovered)(AutoRecovered).xlsm]Analysis!PivotTable6</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Analysis!$B$43</c:f>
              <c:strCache>
                <c:ptCount val="1"/>
                <c:pt idx="0">
                  <c:v>Total</c:v>
                </c:pt>
              </c:strCache>
            </c:strRef>
          </c:tx>
          <c:spPr>
            <a:solidFill>
              <a:schemeClr val="accent1"/>
            </a:solidFill>
            <a:ln>
              <a:noFill/>
            </a:ln>
            <a:effectLst/>
          </c:spPr>
          <c:invertIfNegative val="0"/>
          <c:cat>
            <c:strRef>
              <c:f>Analysis!$A$44:$A$65</c:f>
              <c:strCache>
                <c:ptCount val="21"/>
                <c:pt idx="0">
                  <c:v>P001</c:v>
                </c:pt>
                <c:pt idx="1">
                  <c:v>P002</c:v>
                </c:pt>
                <c:pt idx="2">
                  <c:v>P003</c:v>
                </c:pt>
                <c:pt idx="3">
                  <c:v>P004</c:v>
                </c:pt>
                <c:pt idx="4">
                  <c:v>P005</c:v>
                </c:pt>
                <c:pt idx="5">
                  <c:v>P006</c:v>
                </c:pt>
                <c:pt idx="6">
                  <c:v>P007</c:v>
                </c:pt>
                <c:pt idx="7">
                  <c:v>P008</c:v>
                </c:pt>
                <c:pt idx="8">
                  <c:v>P009</c:v>
                </c:pt>
                <c:pt idx="9">
                  <c:v>P010</c:v>
                </c:pt>
                <c:pt idx="10">
                  <c:v>P011</c:v>
                </c:pt>
                <c:pt idx="11">
                  <c:v>P012</c:v>
                </c:pt>
                <c:pt idx="12">
                  <c:v>P013</c:v>
                </c:pt>
                <c:pt idx="13">
                  <c:v>P014</c:v>
                </c:pt>
                <c:pt idx="14">
                  <c:v>P015</c:v>
                </c:pt>
                <c:pt idx="15">
                  <c:v>P016</c:v>
                </c:pt>
                <c:pt idx="16">
                  <c:v>P017</c:v>
                </c:pt>
                <c:pt idx="17">
                  <c:v>P018</c:v>
                </c:pt>
                <c:pt idx="18">
                  <c:v>P019</c:v>
                </c:pt>
                <c:pt idx="19">
                  <c:v>P020</c:v>
                </c:pt>
                <c:pt idx="20">
                  <c:v>P081</c:v>
                </c:pt>
              </c:strCache>
            </c:strRef>
          </c:cat>
          <c:val>
            <c:numRef>
              <c:f>Analysis!$B$44:$B$65</c:f>
              <c:numCache>
                <c:formatCode>General</c:formatCode>
                <c:ptCount val="21"/>
                <c:pt idx="0">
                  <c:v>-5</c:v>
                </c:pt>
                <c:pt idx="1">
                  <c:v>-4</c:v>
                </c:pt>
                <c:pt idx="2">
                  <c:v>13</c:v>
                </c:pt>
                <c:pt idx="3">
                  <c:v>12</c:v>
                </c:pt>
                <c:pt idx="4">
                  <c:v>5</c:v>
                </c:pt>
                <c:pt idx="5">
                  <c:v>14</c:v>
                </c:pt>
                <c:pt idx="6">
                  <c:v>13</c:v>
                </c:pt>
                <c:pt idx="7">
                  <c:v>15</c:v>
                </c:pt>
                <c:pt idx="8">
                  <c:v>5</c:v>
                </c:pt>
                <c:pt idx="9">
                  <c:v>7</c:v>
                </c:pt>
                <c:pt idx="10">
                  <c:v>1</c:v>
                </c:pt>
                <c:pt idx="11">
                  <c:v>0</c:v>
                </c:pt>
                <c:pt idx="12">
                  <c:v>-7</c:v>
                </c:pt>
                <c:pt idx="13">
                  <c:v>3</c:v>
                </c:pt>
                <c:pt idx="14">
                  <c:v>0</c:v>
                </c:pt>
                <c:pt idx="15">
                  <c:v>3</c:v>
                </c:pt>
                <c:pt idx="16">
                  <c:v>-4</c:v>
                </c:pt>
                <c:pt idx="17">
                  <c:v>5</c:v>
                </c:pt>
                <c:pt idx="18">
                  <c:v>7</c:v>
                </c:pt>
                <c:pt idx="19">
                  <c:v>4</c:v>
                </c:pt>
                <c:pt idx="20">
                  <c:v>-10</c:v>
                </c:pt>
              </c:numCache>
            </c:numRef>
          </c:val>
          <c:extLst>
            <c:ext xmlns:c16="http://schemas.microsoft.com/office/drawing/2014/chart" uri="{C3380CC4-5D6E-409C-BE32-E72D297353CC}">
              <c16:uniqueId val="{00000002-2B83-4C30-845C-C9153FF17112}"/>
            </c:ext>
          </c:extLst>
        </c:ser>
        <c:dLbls>
          <c:showLegendKey val="0"/>
          <c:showVal val="0"/>
          <c:showCatName val="0"/>
          <c:showSerName val="0"/>
          <c:showPercent val="0"/>
          <c:showBubbleSize val="0"/>
        </c:dLbls>
        <c:gapWidth val="219"/>
        <c:overlap val="-27"/>
        <c:axId val="1138482607"/>
        <c:axId val="1138483087"/>
      </c:barChart>
      <c:catAx>
        <c:axId val="113848260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38483087"/>
        <c:crosses val="autoZero"/>
        <c:auto val="1"/>
        <c:lblAlgn val="ctr"/>
        <c:lblOffset val="100"/>
        <c:noMultiLvlLbl val="0"/>
      </c:catAx>
      <c:valAx>
        <c:axId val="113848308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38482607"/>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8" Type="http://schemas.openxmlformats.org/officeDocument/2006/relationships/image" Target="../media/image10.png"/><Relationship Id="rId13" Type="http://schemas.openxmlformats.org/officeDocument/2006/relationships/image" Target="../media/image15.svg"/><Relationship Id="rId3" Type="http://schemas.openxmlformats.org/officeDocument/2006/relationships/chart" Target="../charts/chart7.xml"/><Relationship Id="rId7" Type="http://schemas.openxmlformats.org/officeDocument/2006/relationships/image" Target="../media/image9.svg"/><Relationship Id="rId12" Type="http://schemas.openxmlformats.org/officeDocument/2006/relationships/image" Target="../media/image14.png"/><Relationship Id="rId2" Type="http://schemas.openxmlformats.org/officeDocument/2006/relationships/chart" Target="../charts/chart6.xml"/><Relationship Id="rId1" Type="http://schemas.openxmlformats.org/officeDocument/2006/relationships/chart" Target="../charts/chart5.xml"/><Relationship Id="rId6" Type="http://schemas.openxmlformats.org/officeDocument/2006/relationships/image" Target="../media/image8.png"/><Relationship Id="rId11" Type="http://schemas.openxmlformats.org/officeDocument/2006/relationships/image" Target="../media/image13.svg"/><Relationship Id="rId5" Type="http://schemas.openxmlformats.org/officeDocument/2006/relationships/image" Target="../media/image7.svg"/><Relationship Id="rId15" Type="http://schemas.openxmlformats.org/officeDocument/2006/relationships/chart" Target="../charts/chart9.xml"/><Relationship Id="rId10" Type="http://schemas.openxmlformats.org/officeDocument/2006/relationships/image" Target="../media/image12.png"/><Relationship Id="rId4" Type="http://schemas.openxmlformats.org/officeDocument/2006/relationships/image" Target="../media/image6.png"/><Relationship Id="rId9" Type="http://schemas.openxmlformats.org/officeDocument/2006/relationships/image" Target="../media/image11.svg"/><Relationship Id="rId14" Type="http://schemas.openxmlformats.org/officeDocument/2006/relationships/chart" Target="../charts/chart8.xml"/></Relationships>
</file>

<file path=xl/drawings/_rels/drawing4.xml.rels><?xml version="1.0" encoding="UTF-8" standalone="yes"?>
<Relationships xmlns="http://schemas.openxmlformats.org/package/2006/relationships"><Relationship Id="rId3" Type="http://schemas.openxmlformats.org/officeDocument/2006/relationships/chart" Target="../charts/chart12.xml"/><Relationship Id="rId2" Type="http://schemas.openxmlformats.org/officeDocument/2006/relationships/chart" Target="../charts/chart11.xml"/><Relationship Id="rId1" Type="http://schemas.openxmlformats.org/officeDocument/2006/relationships/chart" Target="../charts/chart10.xml"/><Relationship Id="rId4" Type="http://schemas.openxmlformats.org/officeDocument/2006/relationships/chart" Target="../charts/chart13.xml"/></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 Id="rId5" Type="http://schemas.openxmlformats.org/officeDocument/2006/relationships/image" Target="../media/image5.emf"/><Relationship Id="rId4" Type="http://schemas.openxmlformats.org/officeDocument/2006/relationships/image" Target="../media/image4.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16</xdr:col>
          <xdr:colOff>53340</xdr:colOff>
          <xdr:row>7</xdr:row>
          <xdr:rowOff>83820</xdr:rowOff>
        </xdr:from>
        <xdr:to>
          <xdr:col>17</xdr:col>
          <xdr:colOff>579120</xdr:colOff>
          <xdr:row>10</xdr:row>
          <xdr:rowOff>7620</xdr:rowOff>
        </xdr:to>
        <xdr:sp macro="" textlink="">
          <xdr:nvSpPr>
            <xdr:cNvPr id="1025" name="CommandButton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7620</xdr:colOff>
          <xdr:row>6</xdr:row>
          <xdr:rowOff>38100</xdr:rowOff>
        </xdr:from>
        <xdr:to>
          <xdr:col>9</xdr:col>
          <xdr:colOff>769620</xdr:colOff>
          <xdr:row>8</xdr:row>
          <xdr:rowOff>144780</xdr:rowOff>
        </xdr:to>
        <xdr:sp macro="" textlink="">
          <xdr:nvSpPr>
            <xdr:cNvPr id="1026" name="CommandButton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15240</xdr:colOff>
          <xdr:row>10</xdr:row>
          <xdr:rowOff>38100</xdr:rowOff>
        </xdr:from>
        <xdr:to>
          <xdr:col>9</xdr:col>
          <xdr:colOff>754380</xdr:colOff>
          <xdr:row>12</xdr:row>
          <xdr:rowOff>68580</xdr:rowOff>
        </xdr:to>
        <xdr:sp macro="" textlink="">
          <xdr:nvSpPr>
            <xdr:cNvPr id="1027" name="CommandButton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22860</xdr:colOff>
          <xdr:row>14</xdr:row>
          <xdr:rowOff>30480</xdr:rowOff>
        </xdr:from>
        <xdr:to>
          <xdr:col>9</xdr:col>
          <xdr:colOff>762000</xdr:colOff>
          <xdr:row>16</xdr:row>
          <xdr:rowOff>83820</xdr:rowOff>
        </xdr:to>
        <xdr:sp macro="" textlink="">
          <xdr:nvSpPr>
            <xdr:cNvPr id="1028" name="CommandButton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403860</xdr:colOff>
          <xdr:row>15</xdr:row>
          <xdr:rowOff>91440</xdr:rowOff>
        </xdr:from>
        <xdr:to>
          <xdr:col>16</xdr:col>
          <xdr:colOff>68580</xdr:colOff>
          <xdr:row>17</xdr:row>
          <xdr:rowOff>144780</xdr:rowOff>
        </xdr:to>
        <xdr:sp macro="" textlink="">
          <xdr:nvSpPr>
            <xdr:cNvPr id="1031" name="CommandButton5"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254000</xdr:colOff>
      <xdr:row>1</xdr:row>
      <xdr:rowOff>71120</xdr:rowOff>
    </xdr:from>
    <xdr:to>
      <xdr:col>8</xdr:col>
      <xdr:colOff>2540</xdr:colOff>
      <xdr:row>18</xdr:row>
      <xdr:rowOff>137160</xdr:rowOff>
    </xdr:to>
    <xdr:graphicFrame macro="">
      <xdr:nvGraphicFramePr>
        <xdr:cNvPr id="34" name="StockValueChart">
          <a:extLst>
            <a:ext uri="{FF2B5EF4-FFF2-40B4-BE49-F238E27FC236}">
              <a16:creationId xmlns:a16="http://schemas.microsoft.com/office/drawing/2014/main" id="{18145C79-FE85-E22C-49C4-40B52E06B65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383540</xdr:colOff>
      <xdr:row>1</xdr:row>
      <xdr:rowOff>71120</xdr:rowOff>
    </xdr:from>
    <xdr:to>
      <xdr:col>15</xdr:col>
      <xdr:colOff>561340</xdr:colOff>
      <xdr:row>18</xdr:row>
      <xdr:rowOff>137160</xdr:rowOff>
    </xdr:to>
    <xdr:graphicFrame macro="">
      <xdr:nvGraphicFramePr>
        <xdr:cNvPr id="35" name="StockQuantityChart">
          <a:extLst>
            <a:ext uri="{FF2B5EF4-FFF2-40B4-BE49-F238E27FC236}">
              <a16:creationId xmlns:a16="http://schemas.microsoft.com/office/drawing/2014/main" id="{4AD868E0-2439-BE9F-ECCB-0C8174A0AF1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254000</xdr:colOff>
      <xdr:row>20</xdr:row>
      <xdr:rowOff>152400</xdr:rowOff>
    </xdr:from>
    <xdr:to>
      <xdr:col>8</xdr:col>
      <xdr:colOff>2540</xdr:colOff>
      <xdr:row>38</xdr:row>
      <xdr:rowOff>35560</xdr:rowOff>
    </xdr:to>
    <xdr:graphicFrame macro="">
      <xdr:nvGraphicFramePr>
        <xdr:cNvPr id="36" name="ProductCountChart">
          <a:extLst>
            <a:ext uri="{FF2B5EF4-FFF2-40B4-BE49-F238E27FC236}">
              <a16:creationId xmlns:a16="http://schemas.microsoft.com/office/drawing/2014/main" id="{F3223827-B073-3268-96FD-462D138632A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8</xdr:col>
      <xdr:colOff>383540</xdr:colOff>
      <xdr:row>20</xdr:row>
      <xdr:rowOff>152400</xdr:rowOff>
    </xdr:from>
    <xdr:to>
      <xdr:col>18</xdr:col>
      <xdr:colOff>2540</xdr:colOff>
      <xdr:row>38</xdr:row>
      <xdr:rowOff>35560</xdr:rowOff>
    </xdr:to>
    <xdr:graphicFrame macro="">
      <xdr:nvGraphicFramePr>
        <xdr:cNvPr id="37" name="LowStockChart">
          <a:extLst>
            <a:ext uri="{FF2B5EF4-FFF2-40B4-BE49-F238E27FC236}">
              <a16:creationId xmlns:a16="http://schemas.microsoft.com/office/drawing/2014/main" id="{A059E55B-314E-24DC-C157-BAAD77297FE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0</xdr:row>
      <xdr:rowOff>0</xdr:rowOff>
    </xdr:from>
    <xdr:to>
      <xdr:col>29</xdr:col>
      <xdr:colOff>601579</xdr:colOff>
      <xdr:row>58</xdr:row>
      <xdr:rowOff>157654</xdr:rowOff>
    </xdr:to>
    <xdr:sp macro="" textlink="">
      <xdr:nvSpPr>
        <xdr:cNvPr id="3" name="Rectangle 2">
          <a:extLst>
            <a:ext uri="{FF2B5EF4-FFF2-40B4-BE49-F238E27FC236}">
              <a16:creationId xmlns:a16="http://schemas.microsoft.com/office/drawing/2014/main" id="{4C0CE9BB-1816-C20E-8D9B-A51BAA36CE0C}"/>
            </a:ext>
          </a:extLst>
        </xdr:cNvPr>
        <xdr:cNvSpPr/>
      </xdr:nvSpPr>
      <xdr:spPr>
        <a:xfrm>
          <a:off x="0" y="0"/>
          <a:ext cx="18381579" cy="10825654"/>
        </a:xfrm>
        <a:prstGeom prst="rect">
          <a:avLst/>
        </a:prstGeom>
        <a:solidFill>
          <a:srgbClr val="181824"/>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3</xdr:col>
      <xdr:colOff>605588</xdr:colOff>
      <xdr:row>0</xdr:row>
      <xdr:rowOff>158014</xdr:rowOff>
    </xdr:from>
    <xdr:to>
      <xdr:col>23</xdr:col>
      <xdr:colOff>360946</xdr:colOff>
      <xdr:row>6</xdr:row>
      <xdr:rowOff>46120</xdr:rowOff>
    </xdr:to>
    <xdr:sp macro="" textlink="">
      <xdr:nvSpPr>
        <xdr:cNvPr id="4" name="Rectangle: Rounded Corners 3">
          <a:extLst>
            <a:ext uri="{FF2B5EF4-FFF2-40B4-BE49-F238E27FC236}">
              <a16:creationId xmlns:a16="http://schemas.microsoft.com/office/drawing/2014/main" id="{27BAB4E9-565A-D6B1-1389-4DA0BF6382AE}"/>
            </a:ext>
          </a:extLst>
        </xdr:cNvPr>
        <xdr:cNvSpPr/>
      </xdr:nvSpPr>
      <xdr:spPr>
        <a:xfrm>
          <a:off x="2440404" y="158014"/>
          <a:ext cx="11987463" cy="970948"/>
        </a:xfrm>
        <a:prstGeom prst="roundRect">
          <a:avLst/>
        </a:prstGeom>
        <a:solidFill>
          <a:srgbClr val="8E32E9"/>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6</xdr:col>
      <xdr:colOff>308407</xdr:colOff>
      <xdr:row>1</xdr:row>
      <xdr:rowOff>61360</xdr:rowOff>
    </xdr:from>
    <xdr:to>
      <xdr:col>21</xdr:col>
      <xdr:colOff>441521</xdr:colOff>
      <xdr:row>5</xdr:row>
      <xdr:rowOff>129940</xdr:rowOff>
    </xdr:to>
    <xdr:sp macro="" textlink="">
      <xdr:nvSpPr>
        <xdr:cNvPr id="5" name="TextBox 4">
          <a:extLst>
            <a:ext uri="{FF2B5EF4-FFF2-40B4-BE49-F238E27FC236}">
              <a16:creationId xmlns:a16="http://schemas.microsoft.com/office/drawing/2014/main" id="{37F59B0A-CE8E-CA71-E7F3-9DAAB713C86A}"/>
            </a:ext>
          </a:extLst>
        </xdr:cNvPr>
        <xdr:cNvSpPr txBox="1"/>
      </xdr:nvSpPr>
      <xdr:spPr>
        <a:xfrm>
          <a:off x="3978039" y="241834"/>
          <a:ext cx="9307193" cy="7904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2800" b="0">
              <a:solidFill>
                <a:srgbClr val="220006"/>
              </a:solidFill>
              <a:latin typeface="Bodoni MT Black" panose="02070A03080606020203" pitchFamily="18" charset="0"/>
            </a:rPr>
            <a:t>Inventory</a:t>
          </a:r>
          <a:r>
            <a:rPr lang="en-IN" sz="2800" b="0" baseline="0">
              <a:solidFill>
                <a:srgbClr val="220006"/>
              </a:solidFill>
              <a:latin typeface="Bodoni MT Black" panose="02070A03080606020203" pitchFamily="18" charset="0"/>
            </a:rPr>
            <a:t> System Management Dashboard</a:t>
          </a:r>
          <a:endParaRPr lang="en-IN" sz="2800" b="0">
            <a:solidFill>
              <a:srgbClr val="220006"/>
            </a:solidFill>
            <a:latin typeface="Bodoni MT Black" panose="02070A03080606020203" pitchFamily="18" charset="0"/>
          </a:endParaRPr>
        </a:p>
      </xdr:txBody>
    </xdr:sp>
    <xdr:clientData/>
  </xdr:twoCellAnchor>
  <xdr:twoCellAnchor>
    <xdr:from>
      <xdr:col>3</xdr:col>
      <xdr:colOff>556260</xdr:colOff>
      <xdr:row>17</xdr:row>
      <xdr:rowOff>173254</xdr:rowOff>
    </xdr:from>
    <xdr:to>
      <xdr:col>9</xdr:col>
      <xdr:colOff>411480</xdr:colOff>
      <xdr:row>30</xdr:row>
      <xdr:rowOff>91840</xdr:rowOff>
    </xdr:to>
    <xdr:sp macro="" textlink="">
      <xdr:nvSpPr>
        <xdr:cNvPr id="6" name="Rectangle: Rounded Corners 5">
          <a:extLst>
            <a:ext uri="{FF2B5EF4-FFF2-40B4-BE49-F238E27FC236}">
              <a16:creationId xmlns:a16="http://schemas.microsoft.com/office/drawing/2014/main" id="{CB6665B6-1E2E-E6C9-4E82-1092526B2527}"/>
            </a:ext>
          </a:extLst>
        </xdr:cNvPr>
        <xdr:cNvSpPr/>
      </xdr:nvSpPr>
      <xdr:spPr>
        <a:xfrm>
          <a:off x="2391076" y="3241307"/>
          <a:ext cx="3524851" cy="2264744"/>
        </a:xfrm>
        <a:prstGeom prst="roundRect">
          <a:avLst>
            <a:gd name="adj" fmla="val 8270"/>
          </a:avLst>
        </a:prstGeom>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3</xdr:col>
      <xdr:colOff>419901</xdr:colOff>
      <xdr:row>18</xdr:row>
      <xdr:rowOff>142373</xdr:rowOff>
    </xdr:from>
    <xdr:to>
      <xdr:col>8</xdr:col>
      <xdr:colOff>521367</xdr:colOff>
      <xdr:row>29</xdr:row>
      <xdr:rowOff>50131</xdr:rowOff>
    </xdr:to>
    <xdr:graphicFrame macro="">
      <xdr:nvGraphicFramePr>
        <xdr:cNvPr id="9" name="Chart 8">
          <a:extLst>
            <a:ext uri="{FF2B5EF4-FFF2-40B4-BE49-F238E27FC236}">
              <a16:creationId xmlns:a16="http://schemas.microsoft.com/office/drawing/2014/main" id="{4F6B8149-4A76-4949-B25C-60D8A3A0E34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607595</xdr:colOff>
      <xdr:row>18</xdr:row>
      <xdr:rowOff>126331</xdr:rowOff>
    </xdr:from>
    <xdr:to>
      <xdr:col>8</xdr:col>
      <xdr:colOff>498910</xdr:colOff>
      <xdr:row>19</xdr:row>
      <xdr:rowOff>156811</xdr:rowOff>
    </xdr:to>
    <xdr:sp macro="" textlink="">
      <xdr:nvSpPr>
        <xdr:cNvPr id="10" name="TextBox 9">
          <a:extLst>
            <a:ext uri="{FF2B5EF4-FFF2-40B4-BE49-F238E27FC236}">
              <a16:creationId xmlns:a16="http://schemas.microsoft.com/office/drawing/2014/main" id="{5ED8226B-563B-588E-F028-09DAAB5DFCBC}"/>
            </a:ext>
          </a:extLst>
        </xdr:cNvPr>
        <xdr:cNvSpPr txBox="1"/>
      </xdr:nvSpPr>
      <xdr:spPr>
        <a:xfrm>
          <a:off x="2442411" y="3374857"/>
          <a:ext cx="2949341" cy="21095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IN" sz="1400" b="1">
              <a:solidFill>
                <a:schemeClr val="tx1"/>
              </a:solidFill>
              <a:latin typeface="Times New Roman" panose="02020603050405020304" pitchFamily="18" charset="0"/>
              <a:cs typeface="Times New Roman" panose="02020603050405020304" pitchFamily="18" charset="0"/>
            </a:rPr>
            <a:t>Number products in each category </a:t>
          </a:r>
        </a:p>
      </xdr:txBody>
    </xdr:sp>
    <xdr:clientData/>
  </xdr:twoCellAnchor>
  <xdr:twoCellAnchor>
    <xdr:from>
      <xdr:col>8</xdr:col>
      <xdr:colOff>406433</xdr:colOff>
      <xdr:row>7</xdr:row>
      <xdr:rowOff>59698</xdr:rowOff>
    </xdr:from>
    <xdr:to>
      <xdr:col>14</xdr:col>
      <xdr:colOff>238793</xdr:colOff>
      <xdr:row>20</xdr:row>
      <xdr:rowOff>21599</xdr:rowOff>
    </xdr:to>
    <xdr:sp macro="" textlink="">
      <xdr:nvSpPr>
        <xdr:cNvPr id="7" name="Rectangle: Rounded Corners 6">
          <a:extLst>
            <a:ext uri="{FF2B5EF4-FFF2-40B4-BE49-F238E27FC236}">
              <a16:creationId xmlns:a16="http://schemas.microsoft.com/office/drawing/2014/main" id="{87EB40B4-0CBC-4974-A721-FFC838F35875}"/>
            </a:ext>
          </a:extLst>
        </xdr:cNvPr>
        <xdr:cNvSpPr/>
      </xdr:nvSpPr>
      <xdr:spPr>
        <a:xfrm>
          <a:off x="5299275" y="1323014"/>
          <a:ext cx="3501992" cy="2308059"/>
        </a:xfrm>
        <a:prstGeom prst="roundRect">
          <a:avLst>
            <a:gd name="adj" fmla="val 8270"/>
          </a:avLst>
        </a:prstGeom>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8</xdr:col>
      <xdr:colOff>223553</xdr:colOff>
      <xdr:row>9</xdr:row>
      <xdr:rowOff>82559</xdr:rowOff>
    </xdr:from>
    <xdr:to>
      <xdr:col>14</xdr:col>
      <xdr:colOff>154973</xdr:colOff>
      <xdr:row>20</xdr:row>
      <xdr:rowOff>36839</xdr:rowOff>
    </xdr:to>
    <xdr:graphicFrame macro="">
      <xdr:nvGraphicFramePr>
        <xdr:cNvPr id="2" name="Chart 1">
          <a:extLst>
            <a:ext uri="{FF2B5EF4-FFF2-40B4-BE49-F238E27FC236}">
              <a16:creationId xmlns:a16="http://schemas.microsoft.com/office/drawing/2014/main" id="{CD43B306-51CC-41EC-A194-A669DD84178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464585</xdr:colOff>
      <xdr:row>7</xdr:row>
      <xdr:rowOff>66515</xdr:rowOff>
    </xdr:from>
    <xdr:to>
      <xdr:col>13</xdr:col>
      <xdr:colOff>34148</xdr:colOff>
      <xdr:row>9</xdr:row>
      <xdr:rowOff>60157</xdr:rowOff>
    </xdr:to>
    <xdr:sp macro="" textlink="">
      <xdr:nvSpPr>
        <xdr:cNvPr id="8" name="TextBox 7">
          <a:extLst>
            <a:ext uri="{FF2B5EF4-FFF2-40B4-BE49-F238E27FC236}">
              <a16:creationId xmlns:a16="http://schemas.microsoft.com/office/drawing/2014/main" id="{4BF504F6-CAD1-459B-87C2-7F2396029A48}"/>
            </a:ext>
          </a:extLst>
        </xdr:cNvPr>
        <xdr:cNvSpPr txBox="1"/>
      </xdr:nvSpPr>
      <xdr:spPr>
        <a:xfrm>
          <a:off x="5357427" y="1329831"/>
          <a:ext cx="2627589" cy="35458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rtl="0"/>
          <a:r>
            <a:rPr lang="en-IN" sz="1400" b="1" i="0" baseline="0">
              <a:solidFill>
                <a:schemeClr val="tx1"/>
              </a:solidFill>
              <a:effectLst/>
              <a:latin typeface="Times New Roman" panose="02020603050405020304" pitchFamily="18" charset="0"/>
              <a:ea typeface="+mn-ea"/>
              <a:cs typeface="Times New Roman" panose="02020603050405020304" pitchFamily="18" charset="0"/>
            </a:rPr>
            <a:t>Total Stock Value by Category</a:t>
          </a:r>
          <a:endParaRPr lang="en-IN" sz="1400">
            <a:solidFill>
              <a:schemeClr val="tx1"/>
            </a:solidFill>
            <a:effectLst/>
            <a:latin typeface="Times New Roman" panose="02020603050405020304" pitchFamily="18" charset="0"/>
            <a:cs typeface="Times New Roman" panose="02020603050405020304" pitchFamily="18" charset="0"/>
          </a:endParaRPr>
        </a:p>
      </xdr:txBody>
    </xdr:sp>
    <xdr:clientData/>
  </xdr:twoCellAnchor>
  <xdr:twoCellAnchor>
    <xdr:from>
      <xdr:col>0</xdr:col>
      <xdr:colOff>129540</xdr:colOff>
      <xdr:row>33</xdr:row>
      <xdr:rowOff>36094</xdr:rowOff>
    </xdr:from>
    <xdr:to>
      <xdr:col>8</xdr:col>
      <xdr:colOff>157213</xdr:colOff>
      <xdr:row>49</xdr:row>
      <xdr:rowOff>110289</xdr:rowOff>
    </xdr:to>
    <xdr:sp macro="" textlink="">
      <xdr:nvSpPr>
        <xdr:cNvPr id="11" name="Rectangle: Rounded Corners 10">
          <a:extLst>
            <a:ext uri="{FF2B5EF4-FFF2-40B4-BE49-F238E27FC236}">
              <a16:creationId xmlns:a16="http://schemas.microsoft.com/office/drawing/2014/main" id="{80E0EADA-A7CC-4CD8-BBFB-C31BA6CB9206}"/>
            </a:ext>
          </a:extLst>
        </xdr:cNvPr>
        <xdr:cNvSpPr/>
      </xdr:nvSpPr>
      <xdr:spPr>
        <a:xfrm>
          <a:off x="129540" y="5991726"/>
          <a:ext cx="4920515" cy="2961774"/>
        </a:xfrm>
        <a:prstGeom prst="roundRect">
          <a:avLst>
            <a:gd name="adj" fmla="val 8270"/>
          </a:avLst>
        </a:prstGeom>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0</xdr:col>
      <xdr:colOff>0</xdr:colOff>
      <xdr:row>36</xdr:row>
      <xdr:rowOff>13234</xdr:rowOff>
    </xdr:from>
    <xdr:to>
      <xdr:col>7</xdr:col>
      <xdr:colOff>423130</xdr:colOff>
      <xdr:row>49</xdr:row>
      <xdr:rowOff>144804</xdr:rowOff>
    </xdr:to>
    <xdr:graphicFrame macro="">
      <xdr:nvGraphicFramePr>
        <xdr:cNvPr id="12" name="Chart 11">
          <a:extLst>
            <a:ext uri="{FF2B5EF4-FFF2-40B4-BE49-F238E27FC236}">
              <a16:creationId xmlns:a16="http://schemas.microsoft.com/office/drawing/2014/main" id="{6553449A-6904-4C0A-B37C-037FF8B8583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329665</xdr:colOff>
      <xdr:row>33</xdr:row>
      <xdr:rowOff>119914</xdr:rowOff>
    </xdr:from>
    <xdr:to>
      <xdr:col>6</xdr:col>
      <xdr:colOff>16629</xdr:colOff>
      <xdr:row>35</xdr:row>
      <xdr:rowOff>88100</xdr:rowOff>
    </xdr:to>
    <xdr:sp macro="" textlink="">
      <xdr:nvSpPr>
        <xdr:cNvPr id="13" name="TextBox 12">
          <a:extLst>
            <a:ext uri="{FF2B5EF4-FFF2-40B4-BE49-F238E27FC236}">
              <a16:creationId xmlns:a16="http://schemas.microsoft.com/office/drawing/2014/main" id="{9B125692-9769-4B58-8516-5279CF85145F}"/>
            </a:ext>
          </a:extLst>
        </xdr:cNvPr>
        <xdr:cNvSpPr txBox="1"/>
      </xdr:nvSpPr>
      <xdr:spPr>
        <a:xfrm>
          <a:off x="329665" y="6075546"/>
          <a:ext cx="3356596" cy="32913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rtl="0"/>
          <a:r>
            <a:rPr lang="en-IN" sz="1400" b="1" i="0" baseline="0">
              <a:solidFill>
                <a:schemeClr val="tx1"/>
              </a:solidFill>
              <a:effectLst/>
              <a:latin typeface="Times New Roman" panose="02020603050405020304" pitchFamily="18" charset="0"/>
              <a:ea typeface="+mn-ea"/>
              <a:cs typeface="Times New Roman" panose="02020603050405020304" pitchFamily="18" charset="0"/>
            </a:rPr>
            <a:t>Number of Low Stock Value by Category</a:t>
          </a:r>
          <a:endParaRPr lang="en-IN" sz="1400">
            <a:solidFill>
              <a:schemeClr val="tx1"/>
            </a:solidFill>
            <a:effectLst/>
            <a:latin typeface="Times New Roman" panose="02020603050405020304" pitchFamily="18" charset="0"/>
            <a:cs typeface="Times New Roman" panose="02020603050405020304" pitchFamily="18" charset="0"/>
          </a:endParaRPr>
        </a:p>
      </xdr:txBody>
    </xdr:sp>
    <xdr:clientData/>
  </xdr:twoCellAnchor>
  <xdr:twoCellAnchor>
    <xdr:from>
      <xdr:col>0</xdr:col>
      <xdr:colOff>91439</xdr:colOff>
      <xdr:row>0</xdr:row>
      <xdr:rowOff>140368</xdr:rowOff>
    </xdr:from>
    <xdr:to>
      <xdr:col>3</xdr:col>
      <xdr:colOff>471236</xdr:colOff>
      <xdr:row>6</xdr:row>
      <xdr:rowOff>68580</xdr:rowOff>
    </xdr:to>
    <xdr:sp macro="" textlink="">
      <xdr:nvSpPr>
        <xdr:cNvPr id="14" name="Rectangle: Rounded Corners 13">
          <a:extLst>
            <a:ext uri="{FF2B5EF4-FFF2-40B4-BE49-F238E27FC236}">
              <a16:creationId xmlns:a16="http://schemas.microsoft.com/office/drawing/2014/main" id="{000283FE-1571-A0F5-7865-DC3155EFBD19}"/>
            </a:ext>
          </a:extLst>
        </xdr:cNvPr>
        <xdr:cNvSpPr/>
      </xdr:nvSpPr>
      <xdr:spPr>
        <a:xfrm>
          <a:off x="91439" y="140368"/>
          <a:ext cx="2214613" cy="1011054"/>
        </a:xfrm>
        <a:prstGeom prst="roundRect">
          <a:avLst/>
        </a:prstGeom>
        <a:solidFill>
          <a:srgbClr val="8E32E9"/>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0</xdr:col>
      <xdr:colOff>83820</xdr:colOff>
      <xdr:row>7</xdr:row>
      <xdr:rowOff>15241</xdr:rowOff>
    </xdr:from>
    <xdr:to>
      <xdr:col>3</xdr:col>
      <xdr:colOff>464820</xdr:colOff>
      <xdr:row>30</xdr:row>
      <xdr:rowOff>100263</xdr:rowOff>
    </xdr:to>
    <xdr:sp macro="" textlink="">
      <xdr:nvSpPr>
        <xdr:cNvPr id="15" name="Rectangle: Rounded Corners 14">
          <a:extLst>
            <a:ext uri="{FF2B5EF4-FFF2-40B4-BE49-F238E27FC236}">
              <a16:creationId xmlns:a16="http://schemas.microsoft.com/office/drawing/2014/main" id="{E34ACAA5-7D04-48D4-A5CC-243B9C8DFF83}"/>
            </a:ext>
          </a:extLst>
        </xdr:cNvPr>
        <xdr:cNvSpPr/>
      </xdr:nvSpPr>
      <xdr:spPr>
        <a:xfrm>
          <a:off x="83820" y="1278557"/>
          <a:ext cx="2215816" cy="4235917"/>
        </a:xfrm>
        <a:prstGeom prst="roundRect">
          <a:avLst>
            <a:gd name="adj" fmla="val 6667"/>
          </a:avLst>
        </a:prstGeom>
        <a:solidFill>
          <a:srgbClr val="8E32E9"/>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oneCell">
    <xdr:from>
      <xdr:col>4</xdr:col>
      <xdr:colOff>339290</xdr:colOff>
      <xdr:row>1</xdr:row>
      <xdr:rowOff>32885</xdr:rowOff>
    </xdr:from>
    <xdr:to>
      <xdr:col>6</xdr:col>
      <xdr:colOff>320841</xdr:colOff>
      <xdr:row>6</xdr:row>
      <xdr:rowOff>32885</xdr:rowOff>
    </xdr:to>
    <xdr:pic>
      <xdr:nvPicPr>
        <xdr:cNvPr id="17" name="Graphic 16" descr="Bar graph with upward trend with solid fill">
          <a:extLst>
            <a:ext uri="{FF2B5EF4-FFF2-40B4-BE49-F238E27FC236}">
              <a16:creationId xmlns:a16="http://schemas.microsoft.com/office/drawing/2014/main" id="{DEF1B867-C124-BE6E-C052-8CACF77C98DD}"/>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2785711" y="213359"/>
          <a:ext cx="1204762" cy="902368"/>
        </a:xfrm>
        <a:prstGeom prst="rect">
          <a:avLst/>
        </a:prstGeom>
      </xdr:spPr>
    </xdr:pic>
    <xdr:clientData/>
  </xdr:twoCellAnchor>
  <xdr:twoCellAnchor>
    <xdr:from>
      <xdr:col>0</xdr:col>
      <xdr:colOff>152400</xdr:colOff>
      <xdr:row>7</xdr:row>
      <xdr:rowOff>129540</xdr:rowOff>
    </xdr:from>
    <xdr:to>
      <xdr:col>3</xdr:col>
      <xdr:colOff>358140</xdr:colOff>
      <xdr:row>13</xdr:row>
      <xdr:rowOff>38100</xdr:rowOff>
    </xdr:to>
    <xdr:sp macro="" textlink="">
      <xdr:nvSpPr>
        <xdr:cNvPr id="18" name="Rectangle: Rounded Corners 17">
          <a:extLst>
            <a:ext uri="{FF2B5EF4-FFF2-40B4-BE49-F238E27FC236}">
              <a16:creationId xmlns:a16="http://schemas.microsoft.com/office/drawing/2014/main" id="{512EB091-14D7-3023-479A-7667116AF253}"/>
            </a:ext>
          </a:extLst>
        </xdr:cNvPr>
        <xdr:cNvSpPr/>
      </xdr:nvSpPr>
      <xdr:spPr>
        <a:xfrm>
          <a:off x="152400" y="1409700"/>
          <a:ext cx="2034540" cy="1005840"/>
        </a:xfrm>
        <a:prstGeom prst="roundRect">
          <a:avLst>
            <a:gd name="adj" fmla="val 9091"/>
          </a:avLst>
        </a:prstGeom>
        <a:solidFill>
          <a:srgbClr val="413C62">
            <a:alpha val="79000"/>
          </a:srgb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0</xdr:col>
      <xdr:colOff>162426</xdr:colOff>
      <xdr:row>15</xdr:row>
      <xdr:rowOff>116707</xdr:rowOff>
    </xdr:from>
    <xdr:to>
      <xdr:col>3</xdr:col>
      <xdr:colOff>368166</xdr:colOff>
      <xdr:row>21</xdr:row>
      <xdr:rowOff>25267</xdr:rowOff>
    </xdr:to>
    <xdr:sp macro="" textlink="">
      <xdr:nvSpPr>
        <xdr:cNvPr id="19" name="Rectangle: Rounded Corners 18">
          <a:extLst>
            <a:ext uri="{FF2B5EF4-FFF2-40B4-BE49-F238E27FC236}">
              <a16:creationId xmlns:a16="http://schemas.microsoft.com/office/drawing/2014/main" id="{C33E68EB-4ECD-485B-8EAB-30C84DA3CB53}"/>
            </a:ext>
          </a:extLst>
        </xdr:cNvPr>
        <xdr:cNvSpPr/>
      </xdr:nvSpPr>
      <xdr:spPr>
        <a:xfrm>
          <a:off x="162426" y="2823812"/>
          <a:ext cx="2040556" cy="991402"/>
        </a:xfrm>
        <a:prstGeom prst="roundRect">
          <a:avLst>
            <a:gd name="adj" fmla="val 9091"/>
          </a:avLst>
        </a:prstGeom>
        <a:solidFill>
          <a:srgbClr val="413C62">
            <a:alpha val="78000"/>
          </a:srgb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4</xdr:col>
      <xdr:colOff>125529</xdr:colOff>
      <xdr:row>8</xdr:row>
      <xdr:rowOff>53741</xdr:rowOff>
    </xdr:from>
    <xdr:to>
      <xdr:col>8</xdr:col>
      <xdr:colOff>41709</xdr:colOff>
      <xdr:row>13</xdr:row>
      <xdr:rowOff>145180</xdr:rowOff>
    </xdr:to>
    <xdr:sp macro="" textlink="">
      <xdr:nvSpPr>
        <xdr:cNvPr id="20" name="Rectangle: Rounded Corners 19">
          <a:extLst>
            <a:ext uri="{FF2B5EF4-FFF2-40B4-BE49-F238E27FC236}">
              <a16:creationId xmlns:a16="http://schemas.microsoft.com/office/drawing/2014/main" id="{8440AA8C-6C44-48FB-BC07-995E95FFFCDD}"/>
            </a:ext>
          </a:extLst>
        </xdr:cNvPr>
        <xdr:cNvSpPr/>
      </xdr:nvSpPr>
      <xdr:spPr>
        <a:xfrm>
          <a:off x="2571950" y="1497530"/>
          <a:ext cx="2362601" cy="993808"/>
        </a:xfrm>
        <a:prstGeom prst="roundRect">
          <a:avLst>
            <a:gd name="adj" fmla="val 9091"/>
          </a:avLst>
        </a:prstGeom>
        <a:solidFill>
          <a:srgbClr val="413C6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oneCell">
    <xdr:from>
      <xdr:col>0</xdr:col>
      <xdr:colOff>114300</xdr:colOff>
      <xdr:row>7</xdr:row>
      <xdr:rowOff>152400</xdr:rowOff>
    </xdr:from>
    <xdr:to>
      <xdr:col>1</xdr:col>
      <xdr:colOff>342900</xdr:colOff>
      <xdr:row>13</xdr:row>
      <xdr:rowOff>22860</xdr:rowOff>
    </xdr:to>
    <xdr:pic>
      <xdr:nvPicPr>
        <xdr:cNvPr id="22" name="Graphic 21" descr="Database with solid fill">
          <a:extLst>
            <a:ext uri="{FF2B5EF4-FFF2-40B4-BE49-F238E27FC236}">
              <a16:creationId xmlns:a16="http://schemas.microsoft.com/office/drawing/2014/main" id="{F8DC7FC6-7D98-A3AD-F9E6-1D2BECD275F5}"/>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114300" y="1432560"/>
          <a:ext cx="838200" cy="967740"/>
        </a:xfrm>
        <a:prstGeom prst="rect">
          <a:avLst/>
        </a:prstGeom>
      </xdr:spPr>
    </xdr:pic>
    <xdr:clientData/>
  </xdr:twoCellAnchor>
  <xdr:twoCellAnchor editAs="oneCell">
    <xdr:from>
      <xdr:col>4</xdr:col>
      <xdr:colOff>92649</xdr:colOff>
      <xdr:row>8</xdr:row>
      <xdr:rowOff>142781</xdr:rowOff>
    </xdr:from>
    <xdr:to>
      <xdr:col>5</xdr:col>
      <xdr:colOff>302794</xdr:colOff>
      <xdr:row>13</xdr:row>
      <xdr:rowOff>142780</xdr:rowOff>
    </xdr:to>
    <xdr:pic>
      <xdr:nvPicPr>
        <xdr:cNvPr id="24" name="Graphic 23" descr="Coins with solid fill">
          <a:extLst>
            <a:ext uri="{FF2B5EF4-FFF2-40B4-BE49-F238E27FC236}">
              <a16:creationId xmlns:a16="http://schemas.microsoft.com/office/drawing/2014/main" id="{63E7998D-AE17-F454-DF4E-05841E4E3EBD}"/>
            </a:ext>
          </a:extLst>
        </xdr:cNvPr>
        <xdr:cNvPicPr>
          <a:picLocks noChangeAspect="1"/>
        </xdr:cNvPicPr>
      </xdr:nvPicPr>
      <xdr:blipFill>
        <a:blip xmlns:r="http://schemas.openxmlformats.org/officeDocument/2006/relationships" r:embed="rId8">
          <a:extLst>
            <a:ext uri="{96DAC541-7B7A-43D3-8B79-37D633B846F1}">
              <asvg:svgBlip xmlns:asvg="http://schemas.microsoft.com/office/drawing/2016/SVG/main" r:embed="rId9"/>
            </a:ext>
          </a:extLst>
        </a:blip>
        <a:stretch>
          <a:fillRect/>
        </a:stretch>
      </xdr:blipFill>
      <xdr:spPr>
        <a:xfrm>
          <a:off x="2539070" y="1586570"/>
          <a:ext cx="821750" cy="902368"/>
        </a:xfrm>
        <a:prstGeom prst="rect">
          <a:avLst/>
        </a:prstGeom>
      </xdr:spPr>
    </xdr:pic>
    <xdr:clientData/>
  </xdr:twoCellAnchor>
  <xdr:twoCellAnchor>
    <xdr:from>
      <xdr:col>1</xdr:col>
      <xdr:colOff>160020</xdr:colOff>
      <xdr:row>8</xdr:row>
      <xdr:rowOff>30480</xdr:rowOff>
    </xdr:from>
    <xdr:to>
      <xdr:col>3</xdr:col>
      <xdr:colOff>320040</xdr:colOff>
      <xdr:row>9</xdr:row>
      <xdr:rowOff>30480</xdr:rowOff>
    </xdr:to>
    <xdr:sp macro="" textlink="">
      <xdr:nvSpPr>
        <xdr:cNvPr id="25" name="TextBox 24">
          <a:extLst>
            <a:ext uri="{FF2B5EF4-FFF2-40B4-BE49-F238E27FC236}">
              <a16:creationId xmlns:a16="http://schemas.microsoft.com/office/drawing/2014/main" id="{CBFA73A7-D0F8-6762-0B82-038262F6DBBD}"/>
            </a:ext>
          </a:extLst>
        </xdr:cNvPr>
        <xdr:cNvSpPr txBox="1"/>
      </xdr:nvSpPr>
      <xdr:spPr>
        <a:xfrm>
          <a:off x="769620" y="1493520"/>
          <a:ext cx="1379220" cy="1828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100" b="1">
              <a:solidFill>
                <a:srgbClr val="F8F9FA"/>
              </a:solidFill>
              <a:latin typeface="Arial Black" panose="020B0A04020102020204" pitchFamily="34" charset="0"/>
            </a:rPr>
            <a:t>Total Products</a:t>
          </a:r>
        </a:p>
      </xdr:txBody>
    </xdr:sp>
    <xdr:clientData/>
  </xdr:twoCellAnchor>
  <xdr:twoCellAnchor>
    <xdr:from>
      <xdr:col>0</xdr:col>
      <xdr:colOff>322446</xdr:colOff>
      <xdr:row>15</xdr:row>
      <xdr:rowOff>162427</xdr:rowOff>
    </xdr:from>
    <xdr:to>
      <xdr:col>3</xdr:col>
      <xdr:colOff>337686</xdr:colOff>
      <xdr:row>17</xdr:row>
      <xdr:rowOff>10026</xdr:rowOff>
    </xdr:to>
    <xdr:sp macro="" textlink="">
      <xdr:nvSpPr>
        <xdr:cNvPr id="26" name="TextBox 25">
          <a:extLst>
            <a:ext uri="{FF2B5EF4-FFF2-40B4-BE49-F238E27FC236}">
              <a16:creationId xmlns:a16="http://schemas.microsoft.com/office/drawing/2014/main" id="{D98A2760-A8D6-401F-80B5-7A3058763AE4}"/>
            </a:ext>
          </a:extLst>
        </xdr:cNvPr>
        <xdr:cNvSpPr txBox="1"/>
      </xdr:nvSpPr>
      <xdr:spPr>
        <a:xfrm>
          <a:off x="322446" y="2869532"/>
          <a:ext cx="1850056" cy="20854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100" b="1">
              <a:solidFill>
                <a:srgbClr val="F8F9FA"/>
              </a:solidFill>
              <a:latin typeface="Arial Black" panose="020B0A04020102020204" pitchFamily="34" charset="0"/>
            </a:rPr>
            <a:t>Total Stock Quantity</a:t>
          </a:r>
        </a:p>
      </xdr:txBody>
    </xdr:sp>
    <xdr:clientData/>
  </xdr:twoCellAnchor>
  <xdr:twoCellAnchor>
    <xdr:from>
      <xdr:col>4</xdr:col>
      <xdr:colOff>561874</xdr:colOff>
      <xdr:row>8</xdr:row>
      <xdr:rowOff>76601</xdr:rowOff>
    </xdr:from>
    <xdr:to>
      <xdr:col>7</xdr:col>
      <xdr:colOff>340894</xdr:colOff>
      <xdr:row>9</xdr:row>
      <xdr:rowOff>129940</xdr:rowOff>
    </xdr:to>
    <xdr:sp macro="" textlink="">
      <xdr:nvSpPr>
        <xdr:cNvPr id="27" name="TextBox 26">
          <a:extLst>
            <a:ext uri="{FF2B5EF4-FFF2-40B4-BE49-F238E27FC236}">
              <a16:creationId xmlns:a16="http://schemas.microsoft.com/office/drawing/2014/main" id="{F1907E04-3B93-4CEC-A98F-D60BBB5008B3}"/>
            </a:ext>
          </a:extLst>
        </xdr:cNvPr>
        <xdr:cNvSpPr txBox="1"/>
      </xdr:nvSpPr>
      <xdr:spPr>
        <a:xfrm>
          <a:off x="3008295" y="1520390"/>
          <a:ext cx="1613836" cy="2338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100" b="1">
              <a:solidFill>
                <a:srgbClr val="F8F9FA"/>
              </a:solidFill>
              <a:latin typeface="Arial Black" panose="020B0A04020102020204" pitchFamily="34" charset="0"/>
            </a:rPr>
            <a:t>Total Stock Value</a:t>
          </a:r>
        </a:p>
      </xdr:txBody>
    </xdr:sp>
    <xdr:clientData/>
  </xdr:twoCellAnchor>
  <xdr:twoCellAnchor editAs="oneCell">
    <xdr:from>
      <xdr:col>0</xdr:col>
      <xdr:colOff>147186</xdr:colOff>
      <xdr:row>16</xdr:row>
      <xdr:rowOff>25266</xdr:rowOff>
    </xdr:from>
    <xdr:to>
      <xdr:col>1</xdr:col>
      <xdr:colOff>451986</xdr:colOff>
      <xdr:row>21</xdr:row>
      <xdr:rowOff>25267</xdr:rowOff>
    </xdr:to>
    <xdr:pic>
      <xdr:nvPicPr>
        <xdr:cNvPr id="29" name="Graphic 28" descr="Upward trend with solid fill">
          <a:extLst>
            <a:ext uri="{FF2B5EF4-FFF2-40B4-BE49-F238E27FC236}">
              <a16:creationId xmlns:a16="http://schemas.microsoft.com/office/drawing/2014/main" id="{9CBAB9FF-39E2-90E9-3D8F-8CC87BBED2AE}"/>
            </a:ext>
          </a:extLst>
        </xdr:cNvPr>
        <xdr:cNvPicPr>
          <a:picLocks noChangeAspect="1"/>
        </xdr:cNvPicPr>
      </xdr:nvPicPr>
      <xdr:blipFill>
        <a:blip xmlns:r="http://schemas.openxmlformats.org/officeDocument/2006/relationships" r:embed="rId10">
          <a:extLst>
            <a:ext uri="{96DAC541-7B7A-43D3-8B79-37D633B846F1}">
              <asvg:svgBlip xmlns:asvg="http://schemas.microsoft.com/office/drawing/2016/SVG/main" r:embed="rId11"/>
            </a:ext>
          </a:extLst>
        </a:blip>
        <a:stretch>
          <a:fillRect/>
        </a:stretch>
      </xdr:blipFill>
      <xdr:spPr>
        <a:xfrm>
          <a:off x="147186" y="2912845"/>
          <a:ext cx="916405" cy="902369"/>
        </a:xfrm>
        <a:prstGeom prst="rect">
          <a:avLst/>
        </a:prstGeom>
      </xdr:spPr>
    </xdr:pic>
    <xdr:clientData/>
  </xdr:twoCellAnchor>
  <xdr:twoCellAnchor>
    <xdr:from>
      <xdr:col>1</xdr:col>
      <xdr:colOff>251460</xdr:colOff>
      <xdr:row>9</xdr:row>
      <xdr:rowOff>68580</xdr:rowOff>
    </xdr:from>
    <xdr:to>
      <xdr:col>3</xdr:col>
      <xdr:colOff>114300</xdr:colOff>
      <xdr:row>12</xdr:row>
      <xdr:rowOff>38100</xdr:rowOff>
    </xdr:to>
    <xdr:sp macro="" textlink="Inventory_Summary!I2">
      <xdr:nvSpPr>
        <xdr:cNvPr id="30" name="TextBox 29">
          <a:extLst>
            <a:ext uri="{FF2B5EF4-FFF2-40B4-BE49-F238E27FC236}">
              <a16:creationId xmlns:a16="http://schemas.microsoft.com/office/drawing/2014/main" id="{6426CD34-6D83-4872-B59F-900E06C54E06}"/>
            </a:ext>
          </a:extLst>
        </xdr:cNvPr>
        <xdr:cNvSpPr txBox="1"/>
      </xdr:nvSpPr>
      <xdr:spPr>
        <a:xfrm>
          <a:off x="861060" y="1714500"/>
          <a:ext cx="1082040" cy="5181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E9DC8AA7-0662-45EB-A4CE-74174EA50639}" type="TxLink">
            <a:rPr lang="en-US" sz="3200" b="1" i="0" u="none" strike="noStrike">
              <a:solidFill>
                <a:srgbClr val="F8F9FA"/>
              </a:solidFill>
              <a:latin typeface="Calibri"/>
              <a:ea typeface="Calibri"/>
              <a:cs typeface="Calibri"/>
            </a:rPr>
            <a:pPr algn="ctr"/>
            <a:t>81</a:t>
          </a:fld>
          <a:endParaRPr lang="en-IN" sz="7200" b="1">
            <a:solidFill>
              <a:srgbClr val="F8F9FA"/>
            </a:solidFill>
            <a:latin typeface="Arial Black" panose="020B0A04020102020204" pitchFamily="34" charset="0"/>
          </a:endParaRPr>
        </a:p>
      </xdr:txBody>
    </xdr:sp>
    <xdr:clientData/>
  </xdr:twoCellAnchor>
  <xdr:twoCellAnchor>
    <xdr:from>
      <xdr:col>1</xdr:col>
      <xdr:colOff>360546</xdr:colOff>
      <xdr:row>17</xdr:row>
      <xdr:rowOff>101466</xdr:rowOff>
    </xdr:from>
    <xdr:to>
      <xdr:col>3</xdr:col>
      <xdr:colOff>261486</xdr:colOff>
      <xdr:row>20</xdr:row>
      <xdr:rowOff>17646</xdr:rowOff>
    </xdr:to>
    <xdr:sp macro="" textlink="Inventory_Summary!I3">
      <xdr:nvSpPr>
        <xdr:cNvPr id="31" name="TextBox 30">
          <a:extLst>
            <a:ext uri="{FF2B5EF4-FFF2-40B4-BE49-F238E27FC236}">
              <a16:creationId xmlns:a16="http://schemas.microsoft.com/office/drawing/2014/main" id="{9403B9C9-CFA5-47A8-9CFB-DD6561872733}"/>
            </a:ext>
          </a:extLst>
        </xdr:cNvPr>
        <xdr:cNvSpPr txBox="1"/>
      </xdr:nvSpPr>
      <xdr:spPr>
        <a:xfrm>
          <a:off x="972151" y="3169519"/>
          <a:ext cx="1124151" cy="4576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54ACE6E0-D448-44A7-9280-D1F1AB75C605}" type="TxLink">
            <a:rPr lang="en-US" sz="3200" b="1" i="0" u="none" strike="noStrike">
              <a:solidFill>
                <a:srgbClr val="F8F9FA"/>
              </a:solidFill>
              <a:latin typeface="Calibri"/>
              <a:ea typeface="Calibri"/>
              <a:cs typeface="Calibri"/>
            </a:rPr>
            <a:pPr algn="ctr"/>
            <a:t>1672</a:t>
          </a:fld>
          <a:endParaRPr lang="en-IN" sz="3200" b="1">
            <a:solidFill>
              <a:srgbClr val="F8F9FA"/>
            </a:solidFill>
            <a:latin typeface="Arial Black" panose="020B0A04020102020204" pitchFamily="34" charset="0"/>
          </a:endParaRPr>
        </a:p>
      </xdr:txBody>
    </xdr:sp>
    <xdr:clientData/>
  </xdr:twoCellAnchor>
  <xdr:twoCellAnchor>
    <xdr:from>
      <xdr:col>5</xdr:col>
      <xdr:colOff>196114</xdr:colOff>
      <xdr:row>10</xdr:row>
      <xdr:rowOff>61360</xdr:rowOff>
    </xdr:from>
    <xdr:to>
      <xdr:col>8</xdr:col>
      <xdr:colOff>49329</xdr:colOff>
      <xdr:row>12</xdr:row>
      <xdr:rowOff>46121</xdr:rowOff>
    </xdr:to>
    <xdr:sp macro="" textlink="Inventory_Summary!I4">
      <xdr:nvSpPr>
        <xdr:cNvPr id="32" name="TextBox 31">
          <a:extLst>
            <a:ext uri="{FF2B5EF4-FFF2-40B4-BE49-F238E27FC236}">
              <a16:creationId xmlns:a16="http://schemas.microsoft.com/office/drawing/2014/main" id="{B5C82729-6B29-4AE2-9ECB-0E886CB1C8B6}"/>
            </a:ext>
          </a:extLst>
        </xdr:cNvPr>
        <xdr:cNvSpPr txBox="1"/>
      </xdr:nvSpPr>
      <xdr:spPr>
        <a:xfrm>
          <a:off x="3254140" y="1866097"/>
          <a:ext cx="1688031" cy="34570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327C9C2A-8BCC-425A-9C38-9030579AF30F}" type="TxLink">
            <a:rPr lang="en-US" sz="1800" b="1" i="0" u="none" strike="noStrike">
              <a:solidFill>
                <a:srgbClr val="F8F9FA"/>
              </a:solidFill>
              <a:latin typeface="Calibri"/>
              <a:ea typeface="Calibri"/>
              <a:cs typeface="Calibri"/>
            </a:rPr>
            <a:pPr algn="ctr"/>
            <a:t>₹ 33,87,432.00</a:t>
          </a:fld>
          <a:endParaRPr lang="en-IN" sz="1800" b="1">
            <a:solidFill>
              <a:srgbClr val="F8F9FA"/>
            </a:solidFill>
            <a:latin typeface="Arial Black" panose="020B0A04020102020204" pitchFamily="34" charset="0"/>
          </a:endParaRPr>
        </a:p>
      </xdr:txBody>
    </xdr:sp>
    <xdr:clientData/>
  </xdr:twoCellAnchor>
  <xdr:twoCellAnchor>
    <xdr:from>
      <xdr:col>0</xdr:col>
      <xdr:colOff>172453</xdr:colOff>
      <xdr:row>23</xdr:row>
      <xdr:rowOff>151998</xdr:rowOff>
    </xdr:from>
    <xdr:to>
      <xdr:col>3</xdr:col>
      <xdr:colOff>378193</xdr:colOff>
      <xdr:row>29</xdr:row>
      <xdr:rowOff>60558</xdr:rowOff>
    </xdr:to>
    <xdr:sp macro="" textlink="">
      <xdr:nvSpPr>
        <xdr:cNvPr id="38" name="Rectangle: Rounded Corners 37">
          <a:extLst>
            <a:ext uri="{FF2B5EF4-FFF2-40B4-BE49-F238E27FC236}">
              <a16:creationId xmlns:a16="http://schemas.microsoft.com/office/drawing/2014/main" id="{0DC32F55-7B44-414A-9813-1C2EC9B069D3}"/>
            </a:ext>
          </a:extLst>
        </xdr:cNvPr>
        <xdr:cNvSpPr/>
      </xdr:nvSpPr>
      <xdr:spPr>
        <a:xfrm>
          <a:off x="172453" y="4302893"/>
          <a:ext cx="2040556" cy="991402"/>
        </a:xfrm>
        <a:prstGeom prst="roundRect">
          <a:avLst>
            <a:gd name="adj" fmla="val 9091"/>
          </a:avLst>
        </a:prstGeom>
        <a:solidFill>
          <a:srgbClr val="413C62">
            <a:alpha val="78000"/>
          </a:srgb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xdr:col>
      <xdr:colOff>73393</xdr:colOff>
      <xdr:row>24</xdr:row>
      <xdr:rowOff>106279</xdr:rowOff>
    </xdr:from>
    <xdr:to>
      <xdr:col>3</xdr:col>
      <xdr:colOff>408673</xdr:colOff>
      <xdr:row>25</xdr:row>
      <xdr:rowOff>91039</xdr:rowOff>
    </xdr:to>
    <xdr:sp macro="" textlink="">
      <xdr:nvSpPr>
        <xdr:cNvPr id="34" name="TextBox 33">
          <a:extLst>
            <a:ext uri="{FF2B5EF4-FFF2-40B4-BE49-F238E27FC236}">
              <a16:creationId xmlns:a16="http://schemas.microsoft.com/office/drawing/2014/main" id="{BB03F3DB-D503-4060-A1C0-D047A0F479F0}"/>
            </a:ext>
          </a:extLst>
        </xdr:cNvPr>
        <xdr:cNvSpPr txBox="1"/>
      </xdr:nvSpPr>
      <xdr:spPr>
        <a:xfrm>
          <a:off x="684998" y="4437647"/>
          <a:ext cx="1558491" cy="16523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100" b="1">
              <a:solidFill>
                <a:srgbClr val="F8F9FA"/>
              </a:solidFill>
              <a:latin typeface="Arial Black" panose="020B0A04020102020204" pitchFamily="34" charset="0"/>
            </a:rPr>
            <a:t>Total Low</a:t>
          </a:r>
          <a:r>
            <a:rPr lang="en-IN" sz="1100" b="1" baseline="0">
              <a:solidFill>
                <a:srgbClr val="F8F9FA"/>
              </a:solidFill>
              <a:latin typeface="Arial Black" panose="020B0A04020102020204" pitchFamily="34" charset="0"/>
            </a:rPr>
            <a:t> Stock</a:t>
          </a:r>
          <a:endParaRPr lang="en-IN" sz="1100" b="1">
            <a:solidFill>
              <a:srgbClr val="F8F9FA"/>
            </a:solidFill>
            <a:latin typeface="Arial Black" panose="020B0A04020102020204" pitchFamily="34" charset="0"/>
          </a:endParaRPr>
        </a:p>
      </xdr:txBody>
    </xdr:sp>
    <xdr:clientData/>
  </xdr:twoCellAnchor>
  <xdr:twoCellAnchor>
    <xdr:from>
      <xdr:col>1</xdr:col>
      <xdr:colOff>340093</xdr:colOff>
      <xdr:row>25</xdr:row>
      <xdr:rowOff>144379</xdr:rowOff>
    </xdr:from>
    <xdr:to>
      <xdr:col>3</xdr:col>
      <xdr:colOff>202933</xdr:colOff>
      <xdr:row>28</xdr:row>
      <xdr:rowOff>113899</xdr:rowOff>
    </xdr:to>
    <xdr:sp macro="" textlink="Low_Stock_Report!H3">
      <xdr:nvSpPr>
        <xdr:cNvPr id="35" name="TextBox 34">
          <a:extLst>
            <a:ext uri="{FF2B5EF4-FFF2-40B4-BE49-F238E27FC236}">
              <a16:creationId xmlns:a16="http://schemas.microsoft.com/office/drawing/2014/main" id="{C32EAFB6-B1A8-405B-80C1-989BE23FF872}"/>
            </a:ext>
          </a:extLst>
        </xdr:cNvPr>
        <xdr:cNvSpPr txBox="1"/>
      </xdr:nvSpPr>
      <xdr:spPr>
        <a:xfrm>
          <a:off x="951698" y="4656221"/>
          <a:ext cx="1086051" cy="5109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65DD7C1-E2C0-46D6-BEA5-0831907FEC1B}" type="TxLink">
            <a:rPr lang="en-US" sz="3200" b="1" i="0" u="none" strike="noStrike">
              <a:solidFill>
                <a:srgbClr val="F8F9FA"/>
              </a:solidFill>
              <a:latin typeface="Calibri"/>
              <a:ea typeface="Calibri"/>
              <a:cs typeface="Calibri"/>
            </a:rPr>
            <a:pPr algn="ctr"/>
            <a:t>27</a:t>
          </a:fld>
          <a:endParaRPr lang="en-IN" sz="23900" b="1">
            <a:solidFill>
              <a:srgbClr val="F8F9FA"/>
            </a:solidFill>
            <a:latin typeface="Arial Black" panose="020B0A04020102020204" pitchFamily="34" charset="0"/>
          </a:endParaRPr>
        </a:p>
      </xdr:txBody>
    </xdr:sp>
    <xdr:clientData/>
  </xdr:twoCellAnchor>
  <xdr:twoCellAnchor editAs="oneCell">
    <xdr:from>
      <xdr:col>0</xdr:col>
      <xdr:colOff>187693</xdr:colOff>
      <xdr:row>24</xdr:row>
      <xdr:rowOff>68179</xdr:rowOff>
    </xdr:from>
    <xdr:to>
      <xdr:col>1</xdr:col>
      <xdr:colOff>492493</xdr:colOff>
      <xdr:row>29</xdr:row>
      <xdr:rowOff>68178</xdr:rowOff>
    </xdr:to>
    <xdr:pic>
      <xdr:nvPicPr>
        <xdr:cNvPr id="37" name="Graphic 36" descr="Downward trend graph with solid fill">
          <a:extLst>
            <a:ext uri="{FF2B5EF4-FFF2-40B4-BE49-F238E27FC236}">
              <a16:creationId xmlns:a16="http://schemas.microsoft.com/office/drawing/2014/main" id="{F489A8FF-CAD0-C76F-A7C0-E227C9884248}"/>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187693" y="4399547"/>
          <a:ext cx="916405" cy="902368"/>
        </a:xfrm>
        <a:prstGeom prst="rect">
          <a:avLst/>
        </a:prstGeom>
      </xdr:spPr>
    </xdr:pic>
    <xdr:clientData/>
  </xdr:twoCellAnchor>
  <xdr:twoCellAnchor>
    <xdr:from>
      <xdr:col>17</xdr:col>
      <xdr:colOff>318036</xdr:colOff>
      <xdr:row>7</xdr:row>
      <xdr:rowOff>66976</xdr:rowOff>
    </xdr:from>
    <xdr:to>
      <xdr:col>23</xdr:col>
      <xdr:colOff>203735</xdr:colOff>
      <xdr:row>32</xdr:row>
      <xdr:rowOff>40105</xdr:rowOff>
    </xdr:to>
    <xdr:sp macro="" textlink="">
      <xdr:nvSpPr>
        <xdr:cNvPr id="39" name="Rectangle: Rounded Corners 38">
          <a:extLst>
            <a:ext uri="{FF2B5EF4-FFF2-40B4-BE49-F238E27FC236}">
              <a16:creationId xmlns:a16="http://schemas.microsoft.com/office/drawing/2014/main" id="{D1129FC9-7BEB-FB1D-142B-6AC664A33983}"/>
            </a:ext>
          </a:extLst>
        </xdr:cNvPr>
        <xdr:cNvSpPr/>
      </xdr:nvSpPr>
      <xdr:spPr>
        <a:xfrm>
          <a:off x="10715325" y="1330292"/>
          <a:ext cx="3555331" cy="4484971"/>
        </a:xfrm>
        <a:prstGeom prst="roundRect">
          <a:avLst>
            <a:gd name="adj" fmla="val 5953"/>
          </a:avLst>
        </a:prstGeom>
        <a:solidFill>
          <a:srgbClr val="413C6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17</xdr:col>
      <xdr:colOff>381001</xdr:colOff>
      <xdr:row>9</xdr:row>
      <xdr:rowOff>36496</xdr:rowOff>
    </xdr:from>
    <xdr:to>
      <xdr:col>23</xdr:col>
      <xdr:colOff>226595</xdr:colOff>
      <xdr:row>31</xdr:row>
      <xdr:rowOff>140369</xdr:rowOff>
    </xdr:to>
    <xdr:graphicFrame macro="">
      <xdr:nvGraphicFramePr>
        <xdr:cNvPr id="40" name="Chart 39">
          <a:extLst>
            <a:ext uri="{FF2B5EF4-FFF2-40B4-BE49-F238E27FC236}">
              <a16:creationId xmlns:a16="http://schemas.microsoft.com/office/drawing/2014/main" id="{E1B77469-4CCF-4A2E-B7EE-A6DA49BCA52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17</xdr:col>
      <xdr:colOff>495300</xdr:colOff>
      <xdr:row>7</xdr:row>
      <xdr:rowOff>125528</xdr:rowOff>
    </xdr:from>
    <xdr:to>
      <xdr:col>22</xdr:col>
      <xdr:colOff>140368</xdr:colOff>
      <xdr:row>9</xdr:row>
      <xdr:rowOff>60158</xdr:rowOff>
    </xdr:to>
    <xdr:sp macro="" textlink="">
      <xdr:nvSpPr>
        <xdr:cNvPr id="41" name="TextBox 40">
          <a:extLst>
            <a:ext uri="{FF2B5EF4-FFF2-40B4-BE49-F238E27FC236}">
              <a16:creationId xmlns:a16="http://schemas.microsoft.com/office/drawing/2014/main" id="{3BE09FB1-C908-4468-9DF5-1CEB72471406}"/>
            </a:ext>
          </a:extLst>
        </xdr:cNvPr>
        <xdr:cNvSpPr txBox="1"/>
      </xdr:nvSpPr>
      <xdr:spPr>
        <a:xfrm>
          <a:off x="10892589" y="1388844"/>
          <a:ext cx="2703095" cy="29557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IN" sz="1200" b="1" baseline="0">
              <a:solidFill>
                <a:srgbClr val="F8F9FA"/>
              </a:solidFill>
              <a:latin typeface="Arial Black" panose="020B0A04020102020204" pitchFamily="34" charset="0"/>
            </a:rPr>
            <a:t>Stock is low(-) OR NOT(+)</a:t>
          </a:r>
          <a:endParaRPr lang="en-IN" sz="1200" b="1">
            <a:solidFill>
              <a:srgbClr val="F8F9FA"/>
            </a:solidFill>
            <a:latin typeface="Arial Black" panose="020B0A04020102020204" pitchFamily="34" charset="0"/>
          </a:endParaRPr>
        </a:p>
      </xdr:txBody>
    </xdr:sp>
    <xdr:clientData/>
  </xdr:twoCellAnchor>
  <xdr:twoCellAnchor editAs="oneCell">
    <xdr:from>
      <xdr:col>14</xdr:col>
      <xdr:colOff>481263</xdr:colOff>
      <xdr:row>18</xdr:row>
      <xdr:rowOff>122320</xdr:rowOff>
    </xdr:from>
    <xdr:to>
      <xdr:col>17</xdr:col>
      <xdr:colOff>170448</xdr:colOff>
      <xdr:row>25</xdr:row>
      <xdr:rowOff>107080</xdr:rowOff>
    </xdr:to>
    <mc:AlternateContent xmlns:mc="http://schemas.openxmlformats.org/markup-compatibility/2006" xmlns:a14="http://schemas.microsoft.com/office/drawing/2010/main">
      <mc:Choice Requires="a14">
        <xdr:graphicFrame macro="">
          <xdr:nvGraphicFramePr>
            <xdr:cNvPr id="44" name="low_stock or not 1">
              <a:extLst>
                <a:ext uri="{FF2B5EF4-FFF2-40B4-BE49-F238E27FC236}">
                  <a16:creationId xmlns:a16="http://schemas.microsoft.com/office/drawing/2014/main" id="{2021466F-00A1-452D-9326-05ABBAFCD9F6}"/>
                </a:ext>
              </a:extLst>
            </xdr:cNvPr>
            <xdr:cNvGraphicFramePr/>
          </xdr:nvGraphicFramePr>
          <xdr:xfrm>
            <a:off x="0" y="0"/>
            <a:ext cx="0" cy="0"/>
          </xdr:xfrm>
          <a:graphic>
            <a:graphicData uri="http://schemas.microsoft.com/office/drawing/2010/slicer">
              <sle:slicer xmlns:sle="http://schemas.microsoft.com/office/drawing/2010/slicer" name="low_stock or not 1"/>
            </a:graphicData>
          </a:graphic>
        </xdr:graphicFrame>
      </mc:Choice>
      <mc:Fallback xmlns="">
        <xdr:sp macro="" textlink="">
          <xdr:nvSpPr>
            <xdr:cNvPr id="0" name=""/>
            <xdr:cNvSpPr>
              <a:spLocks noTextEdit="1"/>
            </xdr:cNvSpPr>
          </xdr:nvSpPr>
          <xdr:spPr>
            <a:xfrm>
              <a:off x="9239049" y="3370846"/>
              <a:ext cx="1261311" cy="1248076"/>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absolute">
    <xdr:from>
      <xdr:col>14</xdr:col>
      <xdr:colOff>481263</xdr:colOff>
      <xdr:row>7</xdr:row>
      <xdr:rowOff>110289</xdr:rowOff>
    </xdr:from>
    <xdr:to>
      <xdr:col>17</xdr:col>
      <xdr:colOff>120719</xdr:colOff>
      <xdr:row>16</xdr:row>
      <xdr:rowOff>171250</xdr:rowOff>
    </xdr:to>
    <mc:AlternateContent xmlns:mc="http://schemas.openxmlformats.org/markup-compatibility/2006" xmlns:a14="http://schemas.microsoft.com/office/drawing/2010/main">
      <mc:Choice Requires="a14">
        <xdr:graphicFrame macro="">
          <xdr:nvGraphicFramePr>
            <xdr:cNvPr id="16" name="Category 1">
              <a:extLst>
                <a:ext uri="{FF2B5EF4-FFF2-40B4-BE49-F238E27FC236}">
                  <a16:creationId xmlns:a16="http://schemas.microsoft.com/office/drawing/2014/main" id="{77799812-93C2-47AC-A1F9-AF1E9F8F4341}"/>
                </a:ext>
              </a:extLst>
            </xdr:cNvPr>
            <xdr:cNvGraphicFramePr/>
          </xdr:nvGraphicFramePr>
          <xdr:xfrm>
            <a:off x="0" y="0"/>
            <a:ext cx="0" cy="0"/>
          </xdr:xfrm>
          <a:graphic>
            <a:graphicData uri="http://schemas.microsoft.com/office/drawing/2010/slicer">
              <sle:slicer xmlns:sle="http://schemas.microsoft.com/office/drawing/2010/slicer" name="Category 1"/>
            </a:graphicData>
          </a:graphic>
        </xdr:graphicFrame>
      </mc:Choice>
      <mc:Fallback xmlns="">
        <xdr:sp macro="" textlink="">
          <xdr:nvSpPr>
            <xdr:cNvPr id="0" name=""/>
            <xdr:cNvSpPr>
              <a:spLocks noTextEdit="1"/>
            </xdr:cNvSpPr>
          </xdr:nvSpPr>
          <xdr:spPr>
            <a:xfrm>
              <a:off x="9224212" y="1373605"/>
              <a:ext cx="1293796" cy="1685224"/>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xdr:from>
      <xdr:col>8</xdr:col>
      <xdr:colOff>461213</xdr:colOff>
      <xdr:row>33</xdr:row>
      <xdr:rowOff>30079</xdr:rowOff>
    </xdr:from>
    <xdr:to>
      <xdr:col>16</xdr:col>
      <xdr:colOff>488886</xdr:colOff>
      <xdr:row>49</xdr:row>
      <xdr:rowOff>104274</xdr:rowOff>
    </xdr:to>
    <xdr:sp macro="" textlink="">
      <xdr:nvSpPr>
        <xdr:cNvPr id="23" name="Rectangle: Rounded Corners 22">
          <a:extLst>
            <a:ext uri="{FF2B5EF4-FFF2-40B4-BE49-F238E27FC236}">
              <a16:creationId xmlns:a16="http://schemas.microsoft.com/office/drawing/2014/main" id="{59A64B25-DA0C-4619-8DF2-611A20444679}"/>
            </a:ext>
          </a:extLst>
        </xdr:cNvPr>
        <xdr:cNvSpPr/>
      </xdr:nvSpPr>
      <xdr:spPr>
        <a:xfrm>
          <a:off x="5354055" y="5985711"/>
          <a:ext cx="4920515" cy="2961774"/>
        </a:xfrm>
        <a:prstGeom prst="roundRect">
          <a:avLst>
            <a:gd name="adj" fmla="val 8270"/>
          </a:avLst>
        </a:prstGeom>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8</xdr:col>
      <xdr:colOff>581525</xdr:colOff>
      <xdr:row>36</xdr:row>
      <xdr:rowOff>1</xdr:rowOff>
    </xdr:from>
    <xdr:to>
      <xdr:col>16</xdr:col>
      <xdr:colOff>521368</xdr:colOff>
      <xdr:row>49</xdr:row>
      <xdr:rowOff>50131</xdr:rowOff>
    </xdr:to>
    <xdr:graphicFrame macro="">
      <xdr:nvGraphicFramePr>
        <xdr:cNvPr id="28" name="Chart 27">
          <a:extLst>
            <a:ext uri="{FF2B5EF4-FFF2-40B4-BE49-F238E27FC236}">
              <a16:creationId xmlns:a16="http://schemas.microsoft.com/office/drawing/2014/main" id="{2D3B6B91-9EB0-4B76-8D7F-810F8B230C2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editAs="oneCell">
    <xdr:from>
      <xdr:col>9</xdr:col>
      <xdr:colOff>561475</xdr:colOff>
      <xdr:row>22</xdr:row>
      <xdr:rowOff>110291</xdr:rowOff>
    </xdr:from>
    <xdr:to>
      <xdr:col>13</xdr:col>
      <xdr:colOff>130342</xdr:colOff>
      <xdr:row>31</xdr:row>
      <xdr:rowOff>170448</xdr:rowOff>
    </xdr:to>
    <mc:AlternateContent xmlns:mc="http://schemas.openxmlformats.org/markup-compatibility/2006" xmlns:a14="http://schemas.microsoft.com/office/drawing/2010/main">
      <mc:Choice Requires="a14">
        <xdr:graphicFrame macro="">
          <xdr:nvGraphicFramePr>
            <xdr:cNvPr id="42" name="Day 1">
              <a:extLst>
                <a:ext uri="{FF2B5EF4-FFF2-40B4-BE49-F238E27FC236}">
                  <a16:creationId xmlns:a16="http://schemas.microsoft.com/office/drawing/2014/main" id="{B6C9D513-5F1B-46C1-BE3F-59278889F37A}"/>
                </a:ext>
              </a:extLst>
            </xdr:cNvPr>
            <xdr:cNvGraphicFramePr/>
          </xdr:nvGraphicFramePr>
          <xdr:xfrm>
            <a:off x="0" y="0"/>
            <a:ext cx="0" cy="0"/>
          </xdr:xfrm>
          <a:graphic>
            <a:graphicData uri="http://schemas.microsoft.com/office/drawing/2010/slicer">
              <sle:slicer xmlns:sle="http://schemas.microsoft.com/office/drawing/2010/slicer" name="Day 1"/>
            </a:graphicData>
          </a:graphic>
        </xdr:graphicFrame>
      </mc:Choice>
      <mc:Fallback xmlns="">
        <xdr:sp macro="" textlink="">
          <xdr:nvSpPr>
            <xdr:cNvPr id="0" name=""/>
            <xdr:cNvSpPr>
              <a:spLocks noTextEdit="1"/>
            </xdr:cNvSpPr>
          </xdr:nvSpPr>
          <xdr:spPr>
            <a:xfrm>
              <a:off x="6079406" y="4156774"/>
              <a:ext cx="2021281" cy="1715536"/>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17</xdr:col>
      <xdr:colOff>69150</xdr:colOff>
      <xdr:row>36</xdr:row>
      <xdr:rowOff>1</xdr:rowOff>
    </xdr:from>
    <xdr:to>
      <xdr:col>20</xdr:col>
      <xdr:colOff>63134</xdr:colOff>
      <xdr:row>46</xdr:row>
      <xdr:rowOff>65689</xdr:rowOff>
    </xdr:to>
    <mc:AlternateContent xmlns:mc="http://schemas.openxmlformats.org/markup-compatibility/2006">
      <mc:Choice xmlns:a14="http://schemas.microsoft.com/office/drawing/2010/main" Requires="a14">
        <xdr:graphicFrame macro="">
          <xdr:nvGraphicFramePr>
            <xdr:cNvPr id="43" name="Category 2">
              <a:extLst>
                <a:ext uri="{FF2B5EF4-FFF2-40B4-BE49-F238E27FC236}">
                  <a16:creationId xmlns:a16="http://schemas.microsoft.com/office/drawing/2014/main" id="{72119A8C-C6DD-4A63-8F3C-257C65AFC309}"/>
                </a:ext>
              </a:extLst>
            </xdr:cNvPr>
            <xdr:cNvGraphicFramePr/>
          </xdr:nvGraphicFramePr>
          <xdr:xfrm>
            <a:off x="0" y="0"/>
            <a:ext cx="0" cy="0"/>
          </xdr:xfrm>
          <a:graphic>
            <a:graphicData uri="http://schemas.microsoft.com/office/drawing/2010/slicer">
              <sle:slicer xmlns:sle="http://schemas.microsoft.com/office/drawing/2010/slicer" name="Category 2"/>
            </a:graphicData>
          </a:graphic>
        </xdr:graphicFrame>
      </mc:Choice>
      <mc:Fallback>
        <xdr:sp macro="" textlink="">
          <xdr:nvSpPr>
            <xdr:cNvPr id="0" name=""/>
            <xdr:cNvSpPr>
              <a:spLocks noTextEdit="1"/>
            </xdr:cNvSpPr>
          </xdr:nvSpPr>
          <xdr:spPr>
            <a:xfrm>
              <a:off x="10485769" y="6504496"/>
              <a:ext cx="1832210" cy="1872492"/>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13</xdr:col>
      <xdr:colOff>280735</xdr:colOff>
      <xdr:row>26</xdr:row>
      <xdr:rowOff>110289</xdr:rowOff>
    </xdr:from>
    <xdr:to>
      <xdr:col>16</xdr:col>
      <xdr:colOff>401052</xdr:colOff>
      <xdr:row>31</xdr:row>
      <xdr:rowOff>145180</xdr:rowOff>
    </xdr:to>
    <mc:AlternateContent xmlns:mc="http://schemas.openxmlformats.org/markup-compatibility/2006" xmlns:a14="http://schemas.microsoft.com/office/drawing/2010/main">
      <mc:Choice Requires="a14">
        <xdr:graphicFrame macro="">
          <xdr:nvGraphicFramePr>
            <xdr:cNvPr id="45" name="Transaction_Type">
              <a:extLst>
                <a:ext uri="{FF2B5EF4-FFF2-40B4-BE49-F238E27FC236}">
                  <a16:creationId xmlns:a16="http://schemas.microsoft.com/office/drawing/2014/main" id="{95FA8A72-F57C-43DC-A118-8AAB94F00C0D}"/>
                </a:ext>
              </a:extLst>
            </xdr:cNvPr>
            <xdr:cNvGraphicFramePr/>
          </xdr:nvGraphicFramePr>
          <xdr:xfrm>
            <a:off x="0" y="0"/>
            <a:ext cx="0" cy="0"/>
          </xdr:xfrm>
          <a:graphic>
            <a:graphicData uri="http://schemas.microsoft.com/office/drawing/2010/slicer">
              <sle:slicer xmlns:sle="http://schemas.microsoft.com/office/drawing/2010/slicer" name="Transaction_Type"/>
            </a:graphicData>
          </a:graphic>
        </xdr:graphicFrame>
      </mc:Choice>
      <mc:Fallback xmlns="">
        <xdr:sp macro="" textlink="">
          <xdr:nvSpPr>
            <xdr:cNvPr id="0" name=""/>
            <xdr:cNvSpPr>
              <a:spLocks noTextEdit="1"/>
            </xdr:cNvSpPr>
          </xdr:nvSpPr>
          <xdr:spPr>
            <a:xfrm>
              <a:off x="8251080" y="4892496"/>
              <a:ext cx="1959627" cy="954546"/>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xdr:from>
      <xdr:col>3</xdr:col>
      <xdr:colOff>361950</xdr:colOff>
      <xdr:row>1</xdr:row>
      <xdr:rowOff>87630</xdr:rowOff>
    </xdr:from>
    <xdr:to>
      <xdr:col>6</xdr:col>
      <xdr:colOff>510540</xdr:colOff>
      <xdr:row>10</xdr:row>
      <xdr:rowOff>152400</xdr:rowOff>
    </xdr:to>
    <xdr:graphicFrame macro="">
      <xdr:nvGraphicFramePr>
        <xdr:cNvPr id="2" name="Chart 1">
          <a:extLst>
            <a:ext uri="{FF2B5EF4-FFF2-40B4-BE49-F238E27FC236}">
              <a16:creationId xmlns:a16="http://schemas.microsoft.com/office/drawing/2014/main" id="{4B9C094C-DA3D-0053-2C10-AB3AA42DD18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297180</xdr:colOff>
      <xdr:row>15</xdr:row>
      <xdr:rowOff>7620</xdr:rowOff>
    </xdr:from>
    <xdr:to>
      <xdr:col>6</xdr:col>
      <xdr:colOff>342900</xdr:colOff>
      <xdr:row>22</xdr:row>
      <xdr:rowOff>45720</xdr:rowOff>
    </xdr:to>
    <xdr:graphicFrame macro="">
      <xdr:nvGraphicFramePr>
        <xdr:cNvPr id="4" name="Chart 3">
          <a:extLst>
            <a:ext uri="{FF2B5EF4-FFF2-40B4-BE49-F238E27FC236}">
              <a16:creationId xmlns:a16="http://schemas.microsoft.com/office/drawing/2014/main" id="{E082C835-D15E-DBFF-08E7-1DD36C6A648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518160</xdr:colOff>
      <xdr:row>26</xdr:row>
      <xdr:rowOff>15240</xdr:rowOff>
    </xdr:from>
    <xdr:to>
      <xdr:col>6</xdr:col>
      <xdr:colOff>152400</xdr:colOff>
      <xdr:row>35</xdr:row>
      <xdr:rowOff>60960</xdr:rowOff>
    </xdr:to>
    <xdr:graphicFrame macro="">
      <xdr:nvGraphicFramePr>
        <xdr:cNvPr id="5" name="Chart 4">
          <a:extLst>
            <a:ext uri="{FF2B5EF4-FFF2-40B4-BE49-F238E27FC236}">
              <a16:creationId xmlns:a16="http://schemas.microsoft.com/office/drawing/2014/main" id="{4579EAF8-8789-DDD8-F96D-19F3D2A0BA1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xdr:col>
      <xdr:colOff>0</xdr:colOff>
      <xdr:row>41</xdr:row>
      <xdr:rowOff>175260</xdr:rowOff>
    </xdr:from>
    <xdr:to>
      <xdr:col>9</xdr:col>
      <xdr:colOff>175260</xdr:colOff>
      <xdr:row>56</xdr:row>
      <xdr:rowOff>175260</xdr:rowOff>
    </xdr:to>
    <xdr:graphicFrame macro="">
      <xdr:nvGraphicFramePr>
        <xdr:cNvPr id="6" name="Chart 5">
          <a:extLst>
            <a:ext uri="{FF2B5EF4-FFF2-40B4-BE49-F238E27FC236}">
              <a16:creationId xmlns:a16="http://schemas.microsoft.com/office/drawing/2014/main" id="{486B7610-088A-ADBC-4D6F-596919130EA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2</xdr:col>
      <xdr:colOff>426720</xdr:colOff>
      <xdr:row>83</xdr:row>
      <xdr:rowOff>53341</xdr:rowOff>
    </xdr:from>
    <xdr:to>
      <xdr:col>5</xdr:col>
      <xdr:colOff>426720</xdr:colOff>
      <xdr:row>89</xdr:row>
      <xdr:rowOff>91441</xdr:rowOff>
    </xdr:to>
    <mc:AlternateContent xmlns:mc="http://schemas.openxmlformats.org/markup-compatibility/2006" xmlns:a14="http://schemas.microsoft.com/office/drawing/2010/main">
      <mc:Choice Requires="a14">
        <xdr:graphicFrame macro="">
          <xdr:nvGraphicFramePr>
            <xdr:cNvPr id="9" name="low_stock or not">
              <a:extLst>
                <a:ext uri="{FF2B5EF4-FFF2-40B4-BE49-F238E27FC236}">
                  <a16:creationId xmlns:a16="http://schemas.microsoft.com/office/drawing/2014/main" id="{3883F4D8-C4C7-A368-A685-564AD37467E9}"/>
                </a:ext>
              </a:extLst>
            </xdr:cNvPr>
            <xdr:cNvGraphicFramePr/>
          </xdr:nvGraphicFramePr>
          <xdr:xfrm>
            <a:off x="0" y="0"/>
            <a:ext cx="0" cy="0"/>
          </xdr:xfrm>
          <a:graphic>
            <a:graphicData uri="http://schemas.microsoft.com/office/drawing/2010/slicer">
              <sle:slicer xmlns:sle="http://schemas.microsoft.com/office/drawing/2010/slicer" name="low_stock or not"/>
            </a:graphicData>
          </a:graphic>
        </xdr:graphicFrame>
      </mc:Choice>
      <mc:Fallback xmlns="">
        <xdr:sp macro="" textlink="">
          <xdr:nvSpPr>
            <xdr:cNvPr id="0" name=""/>
            <xdr:cNvSpPr>
              <a:spLocks noTextEdit="1"/>
            </xdr:cNvSpPr>
          </xdr:nvSpPr>
          <xdr:spPr>
            <a:xfrm>
              <a:off x="2430780" y="15369541"/>
              <a:ext cx="1828800" cy="11430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absolute">
    <xdr:from>
      <xdr:col>2</xdr:col>
      <xdr:colOff>419100</xdr:colOff>
      <xdr:row>72</xdr:row>
      <xdr:rowOff>83820</xdr:rowOff>
    </xdr:from>
    <xdr:to>
      <xdr:col>4</xdr:col>
      <xdr:colOff>493696</xdr:colOff>
      <xdr:row>81</xdr:row>
      <xdr:rowOff>100264</xdr:rowOff>
    </xdr:to>
    <mc:AlternateContent xmlns:mc="http://schemas.openxmlformats.org/markup-compatibility/2006" xmlns:a14="http://schemas.microsoft.com/office/drawing/2010/main">
      <mc:Choice Requires="a14">
        <xdr:graphicFrame macro="">
          <xdr:nvGraphicFramePr>
            <xdr:cNvPr id="3" name="Category">
              <a:extLst>
                <a:ext uri="{FF2B5EF4-FFF2-40B4-BE49-F238E27FC236}">
                  <a16:creationId xmlns:a16="http://schemas.microsoft.com/office/drawing/2014/main" id="{C28CFF87-ADA9-463A-BB7E-27E13A75C6BE}"/>
                </a:ext>
              </a:extLst>
            </xdr:cNvPr>
            <xdr:cNvGraphicFramePr/>
          </xdr:nvGraphicFramePr>
          <xdr:xfrm>
            <a:off x="0" y="0"/>
            <a:ext cx="0" cy="0"/>
          </xdr:xfrm>
          <a:graphic>
            <a:graphicData uri="http://schemas.microsoft.com/office/drawing/2010/slicer">
              <sle:slicer xmlns:sle="http://schemas.microsoft.com/office/drawing/2010/slicer" name="Category"/>
            </a:graphicData>
          </a:graphic>
        </xdr:graphicFrame>
      </mc:Choice>
      <mc:Fallback xmlns="">
        <xdr:sp macro="" textlink="">
          <xdr:nvSpPr>
            <xdr:cNvPr id="0" name=""/>
            <xdr:cNvSpPr>
              <a:spLocks noTextEdit="1"/>
            </xdr:cNvSpPr>
          </xdr:nvSpPr>
          <xdr:spPr>
            <a:xfrm>
              <a:off x="2423160" y="13464540"/>
              <a:ext cx="1293796" cy="1685224"/>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editAs="oneCell">
    <xdr:from>
      <xdr:col>12</xdr:col>
      <xdr:colOff>228600</xdr:colOff>
      <xdr:row>77</xdr:row>
      <xdr:rowOff>15240</xdr:rowOff>
    </xdr:from>
    <xdr:to>
      <xdr:col>15</xdr:col>
      <xdr:colOff>175260</xdr:colOff>
      <xdr:row>86</xdr:row>
      <xdr:rowOff>74295</xdr:rowOff>
    </xdr:to>
    <mc:AlternateContent xmlns:mc="http://schemas.openxmlformats.org/markup-compatibility/2006" xmlns:a14="http://schemas.microsoft.com/office/drawing/2010/main">
      <mc:Choice Requires="a14">
        <xdr:graphicFrame macro="">
          <xdr:nvGraphicFramePr>
            <xdr:cNvPr id="11" name="Day">
              <a:extLst>
                <a:ext uri="{FF2B5EF4-FFF2-40B4-BE49-F238E27FC236}">
                  <a16:creationId xmlns:a16="http://schemas.microsoft.com/office/drawing/2014/main" id="{A341855D-41C5-A706-5A6F-E62978D74304}"/>
                </a:ext>
              </a:extLst>
            </xdr:cNvPr>
            <xdr:cNvGraphicFramePr/>
          </xdr:nvGraphicFramePr>
          <xdr:xfrm>
            <a:off x="0" y="0"/>
            <a:ext cx="0" cy="0"/>
          </xdr:xfrm>
          <a:graphic>
            <a:graphicData uri="http://schemas.microsoft.com/office/drawing/2010/slicer">
              <sle:slicer xmlns:sle="http://schemas.microsoft.com/office/drawing/2010/slicer" name="Day"/>
            </a:graphicData>
          </a:graphic>
        </xdr:graphicFrame>
      </mc:Choice>
      <mc:Fallback xmlns="">
        <xdr:sp macro="" textlink="">
          <xdr:nvSpPr>
            <xdr:cNvPr id="0" name=""/>
            <xdr:cNvSpPr>
              <a:spLocks noTextEdit="1"/>
            </xdr:cNvSpPr>
          </xdr:nvSpPr>
          <xdr:spPr>
            <a:xfrm>
              <a:off x="10233660" y="14325600"/>
              <a:ext cx="1828800" cy="173545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12</xdr:col>
      <xdr:colOff>243840</xdr:colOff>
      <xdr:row>71</xdr:row>
      <xdr:rowOff>167640</xdr:rowOff>
    </xdr:from>
    <xdr:to>
      <xdr:col>15</xdr:col>
      <xdr:colOff>190500</xdr:colOff>
      <xdr:row>76</xdr:row>
      <xdr:rowOff>129539</xdr:rowOff>
    </xdr:to>
    <mc:AlternateContent xmlns:mc="http://schemas.openxmlformats.org/markup-compatibility/2006" xmlns:a14="http://schemas.microsoft.com/office/drawing/2010/main">
      <mc:Choice Requires="a14">
        <xdr:graphicFrame macro="">
          <xdr:nvGraphicFramePr>
            <xdr:cNvPr id="12" name="Month">
              <a:extLst>
                <a:ext uri="{FF2B5EF4-FFF2-40B4-BE49-F238E27FC236}">
                  <a16:creationId xmlns:a16="http://schemas.microsoft.com/office/drawing/2014/main" id="{FCB9C03C-691B-6D94-2BDC-E0D3083AC3B1}"/>
                </a:ext>
              </a:extLst>
            </xdr:cNvPr>
            <xdr:cNvGraphicFramePr/>
          </xdr:nvGraphicFramePr>
          <xdr:xfrm>
            <a:off x="0" y="0"/>
            <a:ext cx="0" cy="0"/>
          </xdr:xfrm>
          <a:graphic>
            <a:graphicData uri="http://schemas.microsoft.com/office/drawing/2010/slicer">
              <sle:slicer xmlns:sle="http://schemas.microsoft.com/office/drawing/2010/slicer" name="Month"/>
            </a:graphicData>
          </a:graphic>
        </xdr:graphicFrame>
      </mc:Choice>
      <mc:Fallback xmlns="">
        <xdr:sp macro="" textlink="">
          <xdr:nvSpPr>
            <xdr:cNvPr id="0" name=""/>
            <xdr:cNvSpPr>
              <a:spLocks noTextEdit="1"/>
            </xdr:cNvSpPr>
          </xdr:nvSpPr>
          <xdr:spPr>
            <a:xfrm>
              <a:off x="10248900" y="13357860"/>
              <a:ext cx="1828800" cy="89153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12</xdr:col>
      <xdr:colOff>259080</xdr:colOff>
      <xdr:row>66</xdr:row>
      <xdr:rowOff>99061</xdr:rowOff>
    </xdr:from>
    <xdr:to>
      <xdr:col>15</xdr:col>
      <xdr:colOff>205740</xdr:colOff>
      <xdr:row>71</xdr:row>
      <xdr:rowOff>30480</xdr:rowOff>
    </xdr:to>
    <mc:AlternateContent xmlns:mc="http://schemas.openxmlformats.org/markup-compatibility/2006" xmlns:a14="http://schemas.microsoft.com/office/drawing/2010/main">
      <mc:Choice Requires="a14">
        <xdr:graphicFrame macro="">
          <xdr:nvGraphicFramePr>
            <xdr:cNvPr id="13" name="Year">
              <a:extLst>
                <a:ext uri="{FF2B5EF4-FFF2-40B4-BE49-F238E27FC236}">
                  <a16:creationId xmlns:a16="http://schemas.microsoft.com/office/drawing/2014/main" id="{B0790FED-0A83-859E-86D4-7A48E371A02F}"/>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10264140" y="12313921"/>
              <a:ext cx="1828800" cy="90677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hreyas" refreshedDate="46031.708695370369" createdVersion="8" refreshedVersion="8" minRefreshableVersion="3" recordCount="27" xr:uid="{4FFD6B3D-A76A-4F09-8362-BF29B4478F7C}">
  <cacheSource type="worksheet">
    <worksheetSource ref="A1:E1048576" sheet="Low_Stock_Report"/>
  </cacheSource>
  <cacheFields count="5">
    <cacheField name="Product ID" numFmtId="0">
      <sharedItems containsBlank="1"/>
    </cacheField>
    <cacheField name="Product Name" numFmtId="0">
      <sharedItems containsBlank="1"/>
    </cacheField>
    <cacheField name="Category" numFmtId="0">
      <sharedItems containsBlank="1" count="5">
        <s v="Electronics"/>
        <s v="Grocery"/>
        <s v="Stationery"/>
        <s v="Furniture"/>
        <m/>
      </sharedItems>
    </cacheField>
    <cacheField name="Stock" numFmtId="0">
      <sharedItems containsString="0" containsBlank="1" containsNumber="1" containsInteger="1" minValue="0" maxValue="27"/>
    </cacheField>
    <cacheField name="Reorder Level" numFmtId="0">
      <sharedItems containsBlank="1" containsMixedTypes="1" containsNumber="1" containsInteger="1" minValue="6" maxValue="50"/>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hreyas" refreshedDate="46032.22716678241" createdVersion="8" refreshedVersion="8" minRefreshableVersion="3" recordCount="143" xr:uid="{4962C994-BCE0-4D5D-8B40-CBB54041955B}">
  <cacheSource type="worksheet">
    <worksheetSource ref="A1:G1048576" sheet="Product_Master"/>
  </cacheSource>
  <cacheFields count="7">
    <cacheField name="Product_ID" numFmtId="0">
      <sharedItems containsBlank="1" count="82">
        <s v="P001"/>
        <s v="P002"/>
        <s v="P003"/>
        <s v="P004"/>
        <s v="P005"/>
        <s v="P006"/>
        <s v="P007"/>
        <s v="P008"/>
        <s v="P009"/>
        <s v="P010"/>
        <s v="P011"/>
        <s v="P012"/>
        <s v="P013"/>
        <s v="P014"/>
        <s v="P015"/>
        <s v="P016"/>
        <s v="P017"/>
        <s v="P018"/>
        <s v="P019"/>
        <s v="P020"/>
        <s v="P021"/>
        <s v="P022"/>
        <s v="P023"/>
        <s v="P024"/>
        <s v="P025"/>
        <s v="P026"/>
        <s v="P027"/>
        <s v="P028"/>
        <s v="P029"/>
        <s v="P030"/>
        <s v="P031"/>
        <s v="P032"/>
        <s v="P033"/>
        <s v="P034"/>
        <s v="P035"/>
        <s v="P036"/>
        <s v="P037"/>
        <s v="P038"/>
        <s v="P039"/>
        <s v="P040"/>
        <s v="P041"/>
        <s v="P042"/>
        <s v="P043"/>
        <s v="P044"/>
        <s v="P045"/>
        <s v="P046"/>
        <s v="P047"/>
        <s v="P048"/>
        <s v="P049"/>
        <s v="P050"/>
        <s v="P051"/>
        <s v="P052"/>
        <s v="P053"/>
        <s v="P054"/>
        <s v="P055"/>
        <s v="P056"/>
        <s v="P057"/>
        <s v="P058"/>
        <s v="P059"/>
        <s v="P060"/>
        <s v="P061"/>
        <s v="P062"/>
        <s v="P063"/>
        <s v="P064"/>
        <s v="P065"/>
        <s v="P066"/>
        <s v="P067"/>
        <s v="P068"/>
        <s v="P069"/>
        <s v="P070"/>
        <s v="P071"/>
        <s v="P072"/>
        <s v="P073"/>
        <s v="P074"/>
        <s v="P075"/>
        <s v="P076"/>
        <s v="P077"/>
        <s v="P078"/>
        <s v="P079"/>
        <s v="P080"/>
        <s v="P081"/>
        <m/>
      </sharedItems>
    </cacheField>
    <cacheField name="Product_Name" numFmtId="0">
      <sharedItems containsBlank="1"/>
    </cacheField>
    <cacheField name="Category" numFmtId="0">
      <sharedItems containsBlank="1" count="5">
        <s v="Electronics"/>
        <s v="Grocery"/>
        <s v="Stationery"/>
        <s v="Furniture"/>
        <m/>
      </sharedItems>
    </cacheField>
    <cacheField name="Unit_Price" numFmtId="0">
      <sharedItems containsBlank="1" containsMixedTypes="1" containsNumber="1" containsInteger="1" minValue="10" maxValue="26000"/>
    </cacheField>
    <cacheField name="Reorder_Level" numFmtId="0">
      <sharedItems containsBlank="1" containsMixedTypes="1" containsNumber="1" containsInteger="1" minValue="3" maxValue="50"/>
    </cacheField>
    <cacheField name="Current_Stock" numFmtId="0">
      <sharedItems containsString="0" containsBlank="1" containsNumber="1" containsInteger="1" minValue="0" maxValue="65"/>
    </cacheField>
    <cacheField name="low_stocks" numFmtId="0">
      <sharedItems containsBlank="1" containsMixedTypes="1" containsNumber="1" containsInteger="1" minValue="-27" maxValue="42" count="40">
        <n v="-5"/>
        <n v="-4"/>
        <n v="13"/>
        <n v="12"/>
        <n v="5"/>
        <n v="14"/>
        <n v="15"/>
        <n v="7"/>
        <n v="1"/>
        <n v="0"/>
        <n v="-7"/>
        <n v="3"/>
        <n v="4"/>
        <n v="18"/>
        <n v="-6"/>
        <n v="2"/>
        <n v="-9"/>
        <n v="10"/>
        <n v="35"/>
        <n v="-11"/>
        <n v="20"/>
        <n v="-8"/>
        <n v="11"/>
        <n v="27"/>
        <n v="-24"/>
        <n v="-1"/>
        <n v="-3"/>
        <n v="24"/>
        <n v="-15"/>
        <n v="42"/>
        <n v="-27"/>
        <n v="25"/>
        <n v="6"/>
        <n v="8"/>
        <n v="-2"/>
        <n v="9"/>
        <n v="16"/>
        <n v="-10"/>
        <s v=" "/>
        <m/>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hreyas" refreshedDate="46032.383888310185" createdVersion="8" refreshedVersion="8" minRefreshableVersion="3" recordCount="85" xr:uid="{FE2F1CB0-5FFE-4133-AACC-6C7949CAC584}">
  <cacheSource type="worksheet">
    <worksheetSource ref="A1:I1048576" sheet="Stock_Transactions"/>
  </cacheSource>
  <cacheFields count="9">
    <cacheField name="Date" numFmtId="0">
      <sharedItems containsNonDate="0" containsDate="1" containsString="0" containsBlank="1" minDate="2026-01-05T00:00:00" maxDate="2026-01-11T00:00:00" count="6">
        <d v="2026-01-05T00:00:00"/>
        <d v="2026-01-07T00:00:00"/>
        <d v="2026-01-08T00:00:00"/>
        <d v="2026-01-09T00:00:00"/>
        <d v="2026-01-10T00:00:00"/>
        <m/>
      </sharedItems>
    </cacheField>
    <cacheField name="Product_ID" numFmtId="0">
      <sharedItems containsBlank="1"/>
    </cacheField>
    <cacheField name="Product_Name" numFmtId="0">
      <sharedItems containsBlank="1"/>
    </cacheField>
    <cacheField name="Transaction_Type" numFmtId="0">
      <sharedItems containsBlank="1" count="3">
        <s v="IN"/>
        <s v="OUT"/>
        <m/>
      </sharedItems>
    </cacheField>
    <cacheField name=" Quantity" numFmtId="0">
      <sharedItems containsString="0" containsBlank="1" containsNumber="1" containsInteger="1" minValue="1" maxValue="200"/>
    </cacheField>
    <cacheField name="Category" numFmtId="0">
      <sharedItems containsBlank="1" count="4">
        <s v="Electronics"/>
        <s v="Stationery"/>
        <s v="Grocery"/>
        <m/>
      </sharedItems>
    </cacheField>
    <cacheField name="Day" numFmtId="0">
      <sharedItems containsBlank="1" containsMixedTypes="1" containsNumber="1" containsInteger="1" minValue="5" maxValue="10" count="7">
        <n v="5"/>
        <n v="7"/>
        <n v="8"/>
        <n v="9"/>
        <n v="10"/>
        <s v=" "/>
        <m/>
      </sharedItems>
    </cacheField>
    <cacheField name="Month" numFmtId="0">
      <sharedItems containsBlank="1" containsMixedTypes="1" containsNumber="1" containsInteger="1" minValue="1" maxValue="1" count="3">
        <n v="1"/>
        <s v=" "/>
        <m/>
      </sharedItems>
    </cacheField>
    <cacheField name="Year" numFmtId="0">
      <sharedItems containsBlank="1" containsMixedTypes="1" containsNumber="1" containsInteger="1" minValue="2026" maxValue="2026" count="3">
        <n v="2026"/>
        <s v=" "/>
        <m/>
      </sharedItems>
    </cacheField>
  </cacheFields>
  <extLst>
    <ext xmlns:x14="http://schemas.microsoft.com/office/spreadsheetml/2009/9/main" uri="{725AE2AE-9491-48be-B2B4-4EB974FC3084}">
      <x14:pivotCacheDefinition pivotCacheId="73282528"/>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hreyas" refreshedDate="46032.384917939817" createdVersion="8" refreshedVersion="8" minRefreshableVersion="3" recordCount="143" xr:uid="{8971A399-DF48-4D45-8DC2-E11F958F7FE0}">
  <cacheSource type="worksheet">
    <worksheetSource ref="A1:H1048576" sheet="Product_Master"/>
  </cacheSource>
  <cacheFields count="8">
    <cacheField name="Product_ID" numFmtId="0">
      <sharedItems containsBlank="1" count="83">
        <s v="P001"/>
        <s v="P002"/>
        <s v="P003"/>
        <s v="P004"/>
        <s v="P005"/>
        <s v="P006"/>
        <s v="P007"/>
        <s v="P008"/>
        <s v="P009"/>
        <s v="P010"/>
        <s v="P011"/>
        <s v="P012"/>
        <s v="P013"/>
        <s v="P014"/>
        <s v="P015"/>
        <s v="P016"/>
        <s v="P017"/>
        <s v="P018"/>
        <s v="P019"/>
        <s v="P020"/>
        <s v="P021"/>
        <s v="P022"/>
        <s v="P023"/>
        <s v="P024"/>
        <s v="P025"/>
        <s v="P026"/>
        <s v="P027"/>
        <s v="P028"/>
        <s v="P029"/>
        <s v="P030"/>
        <s v="P031"/>
        <s v="P032"/>
        <s v="P033"/>
        <s v="P034"/>
        <s v="P035"/>
        <s v="P036"/>
        <s v="P037"/>
        <s v="P038"/>
        <s v="P039"/>
        <s v="P040"/>
        <s v="P041"/>
        <s v="P042"/>
        <s v="P043"/>
        <s v="P044"/>
        <s v="P045"/>
        <s v="P046"/>
        <s v="P047"/>
        <s v="P048"/>
        <s v="P049"/>
        <s v="P050"/>
        <s v="P051"/>
        <s v="P052"/>
        <s v="P053"/>
        <s v="P054"/>
        <s v="P055"/>
        <s v="P056"/>
        <s v="P057"/>
        <s v="P058"/>
        <s v="P059"/>
        <s v="P060"/>
        <s v="P061"/>
        <s v="P062"/>
        <s v="P063"/>
        <s v="P064"/>
        <s v="P065"/>
        <s v="P066"/>
        <s v="P067"/>
        <s v="P068"/>
        <s v="P069"/>
        <s v="P070"/>
        <s v="P071"/>
        <s v="P072"/>
        <s v="P073"/>
        <s v="P074"/>
        <s v="P075"/>
        <s v="P076"/>
        <s v="P077"/>
        <s v="P078"/>
        <s v="P079"/>
        <s v="P080"/>
        <s v="P081"/>
        <s v="P082"/>
        <m/>
      </sharedItems>
    </cacheField>
    <cacheField name="Product_Name" numFmtId="0">
      <sharedItems containsBlank="1"/>
    </cacheField>
    <cacheField name="Category" numFmtId="0">
      <sharedItems containsBlank="1" count="5">
        <s v="Electronics"/>
        <s v="Grocery"/>
        <s v="Stationery"/>
        <s v="Furniture"/>
        <m/>
      </sharedItems>
    </cacheField>
    <cacheField name="Unit_Price" numFmtId="0">
      <sharedItems containsBlank="1" containsMixedTypes="1" containsNumber="1" containsInteger="1" minValue="10" maxValue="26000"/>
    </cacheField>
    <cacheField name="Reorder_Level" numFmtId="0">
      <sharedItems containsBlank="1" containsMixedTypes="1" containsNumber="1" containsInteger="1" minValue="3" maxValue="50"/>
    </cacheField>
    <cacheField name="Current_Stock" numFmtId="0">
      <sharedItems containsString="0" containsBlank="1" containsNumber="1" containsInteger="1" minValue="0" maxValue="200"/>
    </cacheField>
    <cacheField name="low_stocks" numFmtId="0">
      <sharedItems containsBlank="1" containsMixedTypes="1" containsNumber="1" containsInteger="1" minValue="-27" maxValue="42"/>
    </cacheField>
    <cacheField name="low_stock or not" numFmtId="0">
      <sharedItems containsBlank="1" count="3">
        <s v="YES"/>
        <s v="NO"/>
        <m/>
      </sharedItems>
    </cacheField>
  </cacheFields>
  <extLst>
    <ext xmlns:x14="http://schemas.microsoft.com/office/spreadsheetml/2009/9/main" uri="{725AE2AE-9491-48be-B2B4-4EB974FC3084}">
      <x14:pivotCacheDefinition pivotCacheId="652104834"/>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hreyas" refreshedDate="46032.445638078701" createdVersion="8" refreshedVersion="8" minRefreshableVersion="3" recordCount="96" xr:uid="{1A5E8B1C-4445-4AB8-AC06-4090B13CF4FB}">
  <cacheSource type="worksheet">
    <worksheetSource ref="A1:F1048576" sheet="Product_Master"/>
  </cacheSource>
  <cacheFields count="6">
    <cacheField name="Product_ID" numFmtId="0">
      <sharedItems containsBlank="1"/>
    </cacheField>
    <cacheField name="Product_Name" numFmtId="0">
      <sharedItems containsBlank="1"/>
    </cacheField>
    <cacheField name="Category" numFmtId="0">
      <sharedItems containsBlank="1" count="5">
        <s v="Electronics"/>
        <s v="Grocery"/>
        <s v="Stationery"/>
        <s v="Furniture"/>
        <m/>
      </sharedItems>
    </cacheField>
    <cacheField name="Unit_Price" numFmtId="0">
      <sharedItems containsBlank="1" containsMixedTypes="1" containsNumber="1" containsInteger="1" minValue="10" maxValue="26000"/>
    </cacheField>
    <cacheField name="Reorder_Level" numFmtId="0">
      <sharedItems containsBlank="1" containsMixedTypes="1" containsNumber="1" containsInteger="1" minValue="3" maxValue="50"/>
    </cacheField>
    <cacheField name="Current_Stock" numFmtId="0">
      <sharedItems containsString="0" containsBlank="1" containsNumber="1" containsInteger="1" minValue="3" maxValue="312"/>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7">
  <r>
    <s v="P001"/>
    <s v="Wireless Mouse"/>
    <x v="0"/>
    <n v="20"/>
    <n v="20"/>
  </r>
  <r>
    <s v="P002"/>
    <s v="Keyboard"/>
    <x v="0"/>
    <n v="11"/>
    <n v="15"/>
  </r>
  <r>
    <s v="P012"/>
    <s v="Headphones"/>
    <x v="0"/>
    <n v="12"/>
    <n v="12"/>
  </r>
  <r>
    <s v="P013"/>
    <s v="Smart Watch"/>
    <x v="0"/>
    <n v="3"/>
    <n v="10"/>
  </r>
  <r>
    <s v="P015"/>
    <s v="Extension Board"/>
    <x v="0"/>
    <n v="10"/>
    <n v="10"/>
  </r>
  <r>
    <s v="P017"/>
    <s v="Scanner"/>
    <x v="0"/>
    <n v="6"/>
    <n v="10"/>
  </r>
  <r>
    <s v="P023"/>
    <s v="Cooking Oil"/>
    <x v="1"/>
    <n v="12"/>
    <n v="18"/>
  </r>
  <r>
    <s v="P024"/>
    <s v="Sugar Pack"/>
    <x v="1"/>
    <n v="20"/>
    <n v="25"/>
  </r>
  <r>
    <s v="P025"/>
    <s v="Salt Packet"/>
    <x v="1"/>
    <n v="25"/>
    <n v="30"/>
  </r>
  <r>
    <s v="P028"/>
    <s v="Milk Packet"/>
    <x v="1"/>
    <n v="16"/>
    <n v="25"/>
  </r>
  <r>
    <s v="P035"/>
    <s v="Detergent Powder"/>
    <x v="1"/>
    <n v="20"/>
    <n v="25"/>
  </r>
  <r>
    <s v="P040"/>
    <s v="Water Bottle"/>
    <x v="1"/>
    <n v="14"/>
    <n v="25"/>
  </r>
  <r>
    <s v="P044"/>
    <s v="Eraser"/>
    <x v="2"/>
    <n v="12"/>
    <n v="20"/>
  </r>
  <r>
    <s v="P048"/>
    <s v="Stapler"/>
    <x v="2"/>
    <n v="24"/>
    <n v="30"/>
  </r>
  <r>
    <s v="P051"/>
    <s v="White Board Marker"/>
    <x v="2"/>
    <n v="21"/>
    <n v="45"/>
  </r>
  <r>
    <s v="P052"/>
    <s v="Sticky Notes"/>
    <x v="2"/>
    <n v="24"/>
    <n v="25"/>
  </r>
  <r>
    <s v="P053"/>
    <s v="A4 Paper Bundle"/>
    <x v="2"/>
    <n v="21"/>
    <n v="24"/>
  </r>
  <r>
    <s v="P055"/>
    <s v="Geometry Box"/>
    <x v="2"/>
    <n v="24"/>
    <n v="30"/>
  </r>
  <r>
    <s v="P056"/>
    <s v="File Folder"/>
    <x v="2"/>
    <n v="23"/>
    <n v="24"/>
  </r>
  <r>
    <s v="P057"/>
    <s v="Exam Pad"/>
    <x v="2"/>
    <n v="15"/>
    <n v="30"/>
  </r>
  <r>
    <s v="P059"/>
    <s v="Correction Pen"/>
    <x v="2"/>
    <n v="23"/>
    <n v="50"/>
  </r>
  <r>
    <s v="P060"/>
    <s v="Ruler Scale"/>
    <x v="2"/>
    <n v="27"/>
    <n v="30"/>
  </r>
  <r>
    <s v="P063"/>
    <s v="Bookshelf"/>
    <x v="3"/>
    <n v="5"/>
    <n v="6"/>
  </r>
  <r>
    <s v="P071"/>
    <s v="Side Table"/>
    <x v="3"/>
    <n v="5"/>
    <n v="6"/>
  </r>
  <r>
    <s v="P075"/>
    <s v="TV Stand"/>
    <x v="3"/>
    <n v="10"/>
    <n v="12"/>
  </r>
  <r>
    <s v="P081"/>
    <s v="Mobile"/>
    <x v="0"/>
    <n v="0"/>
    <s v="10"/>
  </r>
  <r>
    <m/>
    <m/>
    <x v="4"/>
    <m/>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3">
  <r>
    <x v="0"/>
    <s v="Wireless Mouse"/>
    <x v="0"/>
    <n v="550"/>
    <n v="20"/>
    <n v="15"/>
    <x v="0"/>
  </r>
  <r>
    <x v="1"/>
    <s v="Keyboard"/>
    <x v="0"/>
    <n v="1434"/>
    <n v="15"/>
    <n v="11"/>
    <x v="1"/>
  </r>
  <r>
    <x v="2"/>
    <s v="USB Flash Drive"/>
    <x v="0"/>
    <n v="950"/>
    <n v="11"/>
    <n v="24"/>
    <x v="2"/>
  </r>
  <r>
    <x v="3"/>
    <s v="External Hard Disk"/>
    <x v="0"/>
    <n v="3516"/>
    <n v="12"/>
    <n v="24"/>
    <x v="3"/>
  </r>
  <r>
    <x v="4"/>
    <s v="Bluetooth Speaker"/>
    <x v="0"/>
    <n v="1100"/>
    <n v="10"/>
    <n v="15"/>
    <x v="4"/>
  </r>
  <r>
    <x v="5"/>
    <s v="Webcam"/>
    <x v="0"/>
    <n v="3500"/>
    <n v="10"/>
    <n v="24"/>
    <x v="5"/>
  </r>
  <r>
    <x v="6"/>
    <s v="Laptop Charger"/>
    <x v="0"/>
    <n v="1800"/>
    <n v="8"/>
    <n v="21"/>
    <x v="2"/>
  </r>
  <r>
    <x v="7"/>
    <s v="HDMI Cable"/>
    <x v="0"/>
    <n v="250"/>
    <n v="10"/>
    <n v="25"/>
    <x v="6"/>
  </r>
  <r>
    <x v="8"/>
    <s v="Power Bank"/>
    <x v="0"/>
    <n v="3500"/>
    <n v="15"/>
    <n v="20"/>
    <x v="4"/>
  </r>
  <r>
    <x v="9"/>
    <s v="WiFi Router"/>
    <x v="0"/>
    <n v="3750"/>
    <n v="5"/>
    <n v="12"/>
    <x v="7"/>
  </r>
  <r>
    <x v="10"/>
    <s v="Monitor"/>
    <x v="0"/>
    <n v="5600"/>
    <n v="5"/>
    <n v="6"/>
    <x v="8"/>
  </r>
  <r>
    <x v="11"/>
    <s v="Headphones"/>
    <x v="0"/>
    <n v="4500"/>
    <n v="12"/>
    <n v="12"/>
    <x v="9"/>
  </r>
  <r>
    <x v="12"/>
    <s v="Smart Watch"/>
    <x v="0"/>
    <n v="1200"/>
    <n v="10"/>
    <n v="3"/>
    <x v="10"/>
  </r>
  <r>
    <x v="13"/>
    <s v="Mobile Stand"/>
    <x v="0"/>
    <n v="600"/>
    <n v="12"/>
    <n v="15"/>
    <x v="11"/>
  </r>
  <r>
    <x v="14"/>
    <s v="Extension Board"/>
    <x v="0"/>
    <n v="450"/>
    <n v="10"/>
    <n v="10"/>
    <x v="9"/>
  </r>
  <r>
    <x v="15"/>
    <s v="Printer"/>
    <x v="0"/>
    <n v="8600"/>
    <n v="5"/>
    <n v="8"/>
    <x v="11"/>
  </r>
  <r>
    <x v="16"/>
    <s v="Scanner"/>
    <x v="0"/>
    <n v="5500"/>
    <n v="10"/>
    <n v="6"/>
    <x v="1"/>
  </r>
  <r>
    <x v="17"/>
    <s v="Graphics Tablet"/>
    <x v="0"/>
    <n v="4500"/>
    <n v="10"/>
    <n v="15"/>
    <x v="4"/>
  </r>
  <r>
    <x v="18"/>
    <s v="Router Antenna"/>
    <x v="0"/>
    <n v="1600"/>
    <n v="6"/>
    <n v="13"/>
    <x v="7"/>
  </r>
  <r>
    <x v="19"/>
    <s v="SSD Drive"/>
    <x v="0"/>
    <n v="2100"/>
    <n v="8"/>
    <n v="12"/>
    <x v="12"/>
  </r>
  <r>
    <x v="20"/>
    <s v="Rice Bag"/>
    <x v="1"/>
    <n v="2150"/>
    <n v="6"/>
    <n v="24"/>
    <x v="13"/>
  </r>
  <r>
    <x v="21"/>
    <s v="Wheat Flour"/>
    <x v="1"/>
    <n v="80"/>
    <n v="12"/>
    <n v="15"/>
    <x v="11"/>
  </r>
  <r>
    <x v="22"/>
    <s v="Cooking Oil"/>
    <x v="1"/>
    <n v="180"/>
    <n v="18"/>
    <n v="12"/>
    <x v="14"/>
  </r>
  <r>
    <x v="23"/>
    <s v="Sugar Pack"/>
    <x v="1"/>
    <n v="60"/>
    <n v="25"/>
    <n v="20"/>
    <x v="0"/>
  </r>
  <r>
    <x v="24"/>
    <s v="Salt Packet"/>
    <x v="1"/>
    <n v="850"/>
    <n v="30"/>
    <n v="25"/>
    <x v="0"/>
  </r>
  <r>
    <x v="25"/>
    <s v="Tea Powder"/>
    <x v="1"/>
    <n v="690"/>
    <n v="10"/>
    <n v="12"/>
    <x v="15"/>
  </r>
  <r>
    <x v="26"/>
    <s v="Coffee Powder"/>
    <x v="1"/>
    <n v="840"/>
    <n v="8"/>
    <n v="12"/>
    <x v="12"/>
  </r>
  <r>
    <x v="27"/>
    <s v="Milk Packet"/>
    <x v="1"/>
    <n v="56"/>
    <n v="25"/>
    <n v="16"/>
    <x v="16"/>
  </r>
  <r>
    <x v="28"/>
    <s v="Pulses Pack"/>
    <x v="1"/>
    <n v="350"/>
    <n v="16"/>
    <n v="20"/>
    <x v="12"/>
  </r>
  <r>
    <x v="29"/>
    <s v="Spice Box"/>
    <x v="1"/>
    <n v="420"/>
    <n v="15"/>
    <n v="25"/>
    <x v="17"/>
  </r>
  <r>
    <x v="30"/>
    <s v="Soap Bar"/>
    <x v="1"/>
    <n v="25"/>
    <n v="30"/>
    <n v="65"/>
    <x v="18"/>
  </r>
  <r>
    <x v="31"/>
    <s v="Shampoo Bottle"/>
    <x v="1"/>
    <n v="120"/>
    <n v="10"/>
    <n v="12"/>
    <x v="15"/>
  </r>
  <r>
    <x v="32"/>
    <s v="Toothpaste"/>
    <x v="1"/>
    <n v="160"/>
    <n v="12"/>
    <n v="24"/>
    <x v="3"/>
  </r>
  <r>
    <x v="33"/>
    <s v="Dish Wash Liquid"/>
    <x v="1"/>
    <n v="60"/>
    <n v="20"/>
    <n v="30"/>
    <x v="17"/>
  </r>
  <r>
    <x v="34"/>
    <s v="Detergent Powder"/>
    <x v="1"/>
    <n v="85"/>
    <n v="25"/>
    <n v="20"/>
    <x v="0"/>
  </r>
  <r>
    <x v="35"/>
    <s v="Biscuits Pack"/>
    <x v="1"/>
    <n v="10"/>
    <n v="35"/>
    <n v="45"/>
    <x v="17"/>
  </r>
  <r>
    <x v="36"/>
    <s v="Instant Noodles"/>
    <x v="1"/>
    <n v="20"/>
    <n v="15"/>
    <n v="25"/>
    <x v="17"/>
  </r>
  <r>
    <x v="37"/>
    <s v="Dry Fruits Pack"/>
    <x v="1"/>
    <n v="1510"/>
    <n v="15"/>
    <n v="25"/>
    <x v="17"/>
  </r>
  <r>
    <x v="38"/>
    <s v="Breakfast Cereal"/>
    <x v="1"/>
    <n v="1150"/>
    <n v="12"/>
    <n v="16"/>
    <x v="12"/>
  </r>
  <r>
    <x v="39"/>
    <s v="Water Bottle"/>
    <x v="1"/>
    <n v="250"/>
    <n v="25"/>
    <n v="14"/>
    <x v="19"/>
  </r>
  <r>
    <x v="40"/>
    <s v="Ball Pen"/>
    <x v="2"/>
    <n v="10"/>
    <n v="30"/>
    <n v="40"/>
    <x v="17"/>
  </r>
  <r>
    <x v="41"/>
    <s v="Notebook"/>
    <x v="2"/>
    <n v="50"/>
    <n v="30"/>
    <n v="50"/>
    <x v="20"/>
  </r>
  <r>
    <x v="42"/>
    <s v="Pencil Box"/>
    <x v="2"/>
    <n v="80"/>
    <n v="20"/>
    <n v="35"/>
    <x v="6"/>
  </r>
  <r>
    <x v="43"/>
    <s v="Eraser"/>
    <x v="2"/>
    <n v="10"/>
    <n v="20"/>
    <n v="12"/>
    <x v="21"/>
  </r>
  <r>
    <x v="44"/>
    <s v="Sharpener"/>
    <x v="2"/>
    <n v="10"/>
    <n v="25"/>
    <n v="45"/>
    <x v="20"/>
  </r>
  <r>
    <x v="45"/>
    <s v="Marker Pen"/>
    <x v="2"/>
    <n v="30"/>
    <n v="20"/>
    <n v="24"/>
    <x v="12"/>
  </r>
  <r>
    <x v="46"/>
    <s v="Highlighter"/>
    <x v="2"/>
    <n v="40"/>
    <n v="25"/>
    <n v="35"/>
    <x v="17"/>
  </r>
  <r>
    <x v="47"/>
    <s v="Stapler"/>
    <x v="2"/>
    <n v="80"/>
    <n v="30"/>
    <n v="24"/>
    <x v="14"/>
  </r>
  <r>
    <x v="48"/>
    <s v="Paper Clips"/>
    <x v="2"/>
    <n v="20"/>
    <n v="20"/>
    <n v="31"/>
    <x v="22"/>
  </r>
  <r>
    <x v="49"/>
    <s v="Sketch Pens"/>
    <x v="2"/>
    <n v="40"/>
    <n v="35"/>
    <n v="62"/>
    <x v="23"/>
  </r>
  <r>
    <x v="50"/>
    <s v="White Board Marker"/>
    <x v="2"/>
    <n v="60"/>
    <n v="45"/>
    <n v="21"/>
    <x v="24"/>
  </r>
  <r>
    <x v="51"/>
    <s v="Sticky Notes"/>
    <x v="2"/>
    <n v="55"/>
    <n v="25"/>
    <n v="24"/>
    <x v="25"/>
  </r>
  <r>
    <x v="52"/>
    <s v="A4 Paper Bundle"/>
    <x v="2"/>
    <n v="660"/>
    <n v="24"/>
    <n v="21"/>
    <x v="26"/>
  </r>
  <r>
    <x v="53"/>
    <s v="Calculator"/>
    <x v="2"/>
    <n v="1050"/>
    <n v="12"/>
    <n v="36"/>
    <x v="27"/>
  </r>
  <r>
    <x v="54"/>
    <s v="Geometry Box"/>
    <x v="2"/>
    <n v="250"/>
    <n v="30"/>
    <n v="24"/>
    <x v="14"/>
  </r>
  <r>
    <x v="55"/>
    <s v="File Folder"/>
    <x v="2"/>
    <n v="30"/>
    <n v="24"/>
    <n v="23"/>
    <x v="25"/>
  </r>
  <r>
    <x v="56"/>
    <s v="Exam Pad"/>
    <x v="2"/>
    <n v="150"/>
    <n v="30"/>
    <n v="15"/>
    <x v="28"/>
  </r>
  <r>
    <x v="57"/>
    <s v="Glue Stick"/>
    <x v="2"/>
    <n v="60"/>
    <n v="20"/>
    <n v="62"/>
    <x v="29"/>
  </r>
  <r>
    <x v="58"/>
    <s v="Correction Pen"/>
    <x v="2"/>
    <n v="30"/>
    <n v="50"/>
    <n v="23"/>
    <x v="30"/>
  </r>
  <r>
    <x v="59"/>
    <s v="Ruler Scale"/>
    <x v="2"/>
    <n v="40"/>
    <n v="30"/>
    <n v="27"/>
    <x v="26"/>
  </r>
  <r>
    <x v="60"/>
    <s v="Office Chair"/>
    <x v="3"/>
    <n v="1150"/>
    <n v="12"/>
    <n v="37"/>
    <x v="31"/>
  </r>
  <r>
    <x v="61"/>
    <s v="Study Table"/>
    <x v="3"/>
    <n v="2450"/>
    <n v="18"/>
    <n v="28"/>
    <x v="17"/>
  </r>
  <r>
    <x v="62"/>
    <s v="Bookshelf"/>
    <x v="3"/>
    <n v="2599"/>
    <n v="6"/>
    <n v="5"/>
    <x v="25"/>
  </r>
  <r>
    <x v="63"/>
    <s v="Wooden Stool"/>
    <x v="3"/>
    <n v="3499"/>
    <n v="12"/>
    <n v="18"/>
    <x v="32"/>
  </r>
  <r>
    <x v="64"/>
    <s v="Computer Desk"/>
    <x v="3"/>
    <n v="4599"/>
    <n v="15"/>
    <n v="27"/>
    <x v="3"/>
  </r>
  <r>
    <x v="65"/>
    <s v="Filing Cabinet"/>
    <x v="3"/>
    <n v="12599"/>
    <n v="6"/>
    <n v="12"/>
    <x v="32"/>
  </r>
  <r>
    <x v="66"/>
    <s v="Cupboard"/>
    <x v="3"/>
    <n v="9500"/>
    <n v="3"/>
    <n v="9"/>
    <x v="32"/>
  </r>
  <r>
    <x v="67"/>
    <s v="Conference Table"/>
    <x v="3"/>
    <n v="9899"/>
    <n v="3"/>
    <n v="4"/>
    <x v="8"/>
  </r>
  <r>
    <x v="68"/>
    <s v="Visitor Chair"/>
    <x v="3"/>
    <n v="2688"/>
    <n v="10"/>
    <n v="17"/>
    <x v="7"/>
  </r>
  <r>
    <x v="69"/>
    <s v="Drawer Unit"/>
    <x v="3"/>
    <n v="3500"/>
    <n v="6"/>
    <n v="8"/>
    <x v="15"/>
  </r>
  <r>
    <x v="70"/>
    <s v="Side Table"/>
    <x v="3"/>
    <n v="1200"/>
    <n v="6"/>
    <n v="5"/>
    <x v="25"/>
  </r>
  <r>
    <x v="71"/>
    <s v="Sofa Set"/>
    <x v="3"/>
    <n v="12899"/>
    <n v="3"/>
    <n v="6"/>
    <x v="11"/>
  </r>
  <r>
    <x v="72"/>
    <s v="Plastic Chair"/>
    <x v="3"/>
    <n v="1250"/>
    <n v="15"/>
    <n v="23"/>
    <x v="33"/>
  </r>
  <r>
    <x v="73"/>
    <s v="Dining Table"/>
    <x v="3"/>
    <n v="26000"/>
    <n v="5"/>
    <n v="7"/>
    <x v="15"/>
  </r>
  <r>
    <x v="74"/>
    <s v="TV Stand"/>
    <x v="3"/>
    <n v="1200"/>
    <n v="12"/>
    <n v="10"/>
    <x v="34"/>
  </r>
  <r>
    <x v="75"/>
    <s v="Bed Frame"/>
    <x v="3"/>
    <n v="12600"/>
    <n v="6"/>
    <n v="8"/>
    <x v="15"/>
  </r>
  <r>
    <x v="76"/>
    <s v="Mattress"/>
    <x v="3"/>
    <n v="5700"/>
    <n v="5"/>
    <n v="7"/>
    <x v="15"/>
  </r>
  <r>
    <x v="77"/>
    <s v="Wardrobe"/>
    <x v="3"/>
    <n v="10500"/>
    <n v="6"/>
    <n v="13"/>
    <x v="7"/>
  </r>
  <r>
    <x v="78"/>
    <s v="Coffee Table"/>
    <x v="3"/>
    <n v="2799"/>
    <n v="5"/>
    <n v="14"/>
    <x v="35"/>
  </r>
  <r>
    <x v="79"/>
    <s v="Foot Rest"/>
    <x v="3"/>
    <n v="1699"/>
    <n v="5"/>
    <n v="21"/>
    <x v="36"/>
  </r>
  <r>
    <x v="80"/>
    <s v="Mobile"/>
    <x v="0"/>
    <s v="25000"/>
    <s v="10"/>
    <n v="0"/>
    <x v="37"/>
  </r>
  <r>
    <x v="81"/>
    <m/>
    <x v="4"/>
    <m/>
    <m/>
    <m/>
    <x v="38"/>
  </r>
  <r>
    <x v="81"/>
    <m/>
    <x v="4"/>
    <m/>
    <m/>
    <m/>
    <x v="38"/>
  </r>
  <r>
    <x v="81"/>
    <m/>
    <x v="4"/>
    <m/>
    <m/>
    <m/>
    <x v="38"/>
  </r>
  <r>
    <x v="81"/>
    <m/>
    <x v="4"/>
    <m/>
    <m/>
    <m/>
    <x v="38"/>
  </r>
  <r>
    <x v="81"/>
    <m/>
    <x v="4"/>
    <m/>
    <m/>
    <m/>
    <x v="38"/>
  </r>
  <r>
    <x v="81"/>
    <m/>
    <x v="4"/>
    <m/>
    <m/>
    <m/>
    <x v="38"/>
  </r>
  <r>
    <x v="81"/>
    <m/>
    <x v="4"/>
    <m/>
    <m/>
    <m/>
    <x v="38"/>
  </r>
  <r>
    <x v="81"/>
    <m/>
    <x v="4"/>
    <m/>
    <m/>
    <m/>
    <x v="38"/>
  </r>
  <r>
    <x v="81"/>
    <m/>
    <x v="4"/>
    <m/>
    <m/>
    <m/>
    <x v="38"/>
  </r>
  <r>
    <x v="81"/>
    <m/>
    <x v="4"/>
    <m/>
    <m/>
    <m/>
    <x v="38"/>
  </r>
  <r>
    <x v="81"/>
    <m/>
    <x v="4"/>
    <m/>
    <m/>
    <m/>
    <x v="38"/>
  </r>
  <r>
    <x v="81"/>
    <m/>
    <x v="4"/>
    <m/>
    <m/>
    <m/>
    <x v="38"/>
  </r>
  <r>
    <x v="81"/>
    <m/>
    <x v="4"/>
    <m/>
    <m/>
    <m/>
    <x v="38"/>
  </r>
  <r>
    <x v="81"/>
    <m/>
    <x v="4"/>
    <m/>
    <m/>
    <m/>
    <x v="38"/>
  </r>
  <r>
    <x v="81"/>
    <m/>
    <x v="4"/>
    <m/>
    <m/>
    <m/>
    <x v="38"/>
  </r>
  <r>
    <x v="81"/>
    <m/>
    <x v="4"/>
    <m/>
    <m/>
    <m/>
    <x v="38"/>
  </r>
  <r>
    <x v="81"/>
    <m/>
    <x v="4"/>
    <m/>
    <m/>
    <m/>
    <x v="38"/>
  </r>
  <r>
    <x v="81"/>
    <m/>
    <x v="4"/>
    <m/>
    <m/>
    <m/>
    <x v="38"/>
  </r>
  <r>
    <x v="81"/>
    <m/>
    <x v="4"/>
    <m/>
    <m/>
    <m/>
    <x v="38"/>
  </r>
  <r>
    <x v="81"/>
    <m/>
    <x v="4"/>
    <m/>
    <m/>
    <m/>
    <x v="38"/>
  </r>
  <r>
    <x v="81"/>
    <m/>
    <x v="4"/>
    <m/>
    <m/>
    <m/>
    <x v="38"/>
  </r>
  <r>
    <x v="81"/>
    <m/>
    <x v="4"/>
    <m/>
    <m/>
    <m/>
    <x v="38"/>
  </r>
  <r>
    <x v="81"/>
    <m/>
    <x v="4"/>
    <m/>
    <m/>
    <m/>
    <x v="38"/>
  </r>
  <r>
    <x v="81"/>
    <m/>
    <x v="4"/>
    <m/>
    <m/>
    <m/>
    <x v="38"/>
  </r>
  <r>
    <x v="81"/>
    <m/>
    <x v="4"/>
    <m/>
    <m/>
    <m/>
    <x v="38"/>
  </r>
  <r>
    <x v="81"/>
    <m/>
    <x v="4"/>
    <m/>
    <m/>
    <m/>
    <x v="38"/>
  </r>
  <r>
    <x v="81"/>
    <m/>
    <x v="4"/>
    <m/>
    <m/>
    <m/>
    <x v="38"/>
  </r>
  <r>
    <x v="81"/>
    <m/>
    <x v="4"/>
    <m/>
    <m/>
    <m/>
    <x v="38"/>
  </r>
  <r>
    <x v="81"/>
    <m/>
    <x v="4"/>
    <m/>
    <m/>
    <m/>
    <x v="38"/>
  </r>
  <r>
    <x v="81"/>
    <m/>
    <x v="4"/>
    <m/>
    <m/>
    <m/>
    <x v="38"/>
  </r>
  <r>
    <x v="81"/>
    <m/>
    <x v="4"/>
    <m/>
    <m/>
    <m/>
    <x v="38"/>
  </r>
  <r>
    <x v="81"/>
    <m/>
    <x v="4"/>
    <m/>
    <m/>
    <m/>
    <x v="38"/>
  </r>
  <r>
    <x v="81"/>
    <m/>
    <x v="4"/>
    <m/>
    <m/>
    <m/>
    <x v="38"/>
  </r>
  <r>
    <x v="81"/>
    <m/>
    <x v="4"/>
    <m/>
    <m/>
    <m/>
    <x v="38"/>
  </r>
  <r>
    <x v="81"/>
    <m/>
    <x v="4"/>
    <m/>
    <m/>
    <m/>
    <x v="38"/>
  </r>
  <r>
    <x v="81"/>
    <m/>
    <x v="4"/>
    <m/>
    <m/>
    <m/>
    <x v="38"/>
  </r>
  <r>
    <x v="81"/>
    <m/>
    <x v="4"/>
    <m/>
    <m/>
    <m/>
    <x v="38"/>
  </r>
  <r>
    <x v="81"/>
    <m/>
    <x v="4"/>
    <m/>
    <m/>
    <m/>
    <x v="38"/>
  </r>
  <r>
    <x v="81"/>
    <m/>
    <x v="4"/>
    <m/>
    <m/>
    <m/>
    <x v="38"/>
  </r>
  <r>
    <x v="81"/>
    <m/>
    <x v="4"/>
    <m/>
    <m/>
    <m/>
    <x v="38"/>
  </r>
  <r>
    <x v="81"/>
    <m/>
    <x v="4"/>
    <m/>
    <m/>
    <m/>
    <x v="38"/>
  </r>
  <r>
    <x v="81"/>
    <m/>
    <x v="4"/>
    <m/>
    <m/>
    <m/>
    <x v="38"/>
  </r>
  <r>
    <x v="81"/>
    <m/>
    <x v="4"/>
    <m/>
    <m/>
    <m/>
    <x v="38"/>
  </r>
  <r>
    <x v="81"/>
    <m/>
    <x v="4"/>
    <m/>
    <m/>
    <m/>
    <x v="38"/>
  </r>
  <r>
    <x v="81"/>
    <m/>
    <x v="4"/>
    <m/>
    <m/>
    <m/>
    <x v="38"/>
  </r>
  <r>
    <x v="81"/>
    <m/>
    <x v="4"/>
    <m/>
    <m/>
    <m/>
    <x v="38"/>
  </r>
  <r>
    <x v="81"/>
    <m/>
    <x v="4"/>
    <m/>
    <m/>
    <m/>
    <x v="38"/>
  </r>
  <r>
    <x v="81"/>
    <m/>
    <x v="4"/>
    <m/>
    <m/>
    <m/>
    <x v="38"/>
  </r>
  <r>
    <x v="81"/>
    <m/>
    <x v="4"/>
    <m/>
    <m/>
    <m/>
    <x v="38"/>
  </r>
  <r>
    <x v="81"/>
    <m/>
    <x v="4"/>
    <m/>
    <m/>
    <m/>
    <x v="38"/>
  </r>
  <r>
    <x v="81"/>
    <m/>
    <x v="4"/>
    <m/>
    <m/>
    <m/>
    <x v="38"/>
  </r>
  <r>
    <x v="81"/>
    <m/>
    <x v="4"/>
    <m/>
    <m/>
    <m/>
    <x v="38"/>
  </r>
  <r>
    <x v="81"/>
    <m/>
    <x v="4"/>
    <m/>
    <m/>
    <m/>
    <x v="38"/>
  </r>
  <r>
    <x v="81"/>
    <m/>
    <x v="4"/>
    <m/>
    <m/>
    <m/>
    <x v="38"/>
  </r>
  <r>
    <x v="81"/>
    <m/>
    <x v="4"/>
    <m/>
    <m/>
    <m/>
    <x v="38"/>
  </r>
  <r>
    <x v="81"/>
    <m/>
    <x v="4"/>
    <m/>
    <m/>
    <m/>
    <x v="38"/>
  </r>
  <r>
    <x v="81"/>
    <m/>
    <x v="4"/>
    <m/>
    <m/>
    <m/>
    <x v="38"/>
  </r>
  <r>
    <x v="81"/>
    <m/>
    <x v="4"/>
    <m/>
    <m/>
    <m/>
    <x v="38"/>
  </r>
  <r>
    <x v="81"/>
    <m/>
    <x v="4"/>
    <m/>
    <m/>
    <m/>
    <x v="38"/>
  </r>
  <r>
    <x v="81"/>
    <m/>
    <x v="4"/>
    <m/>
    <m/>
    <m/>
    <x v="38"/>
  </r>
  <r>
    <x v="81"/>
    <m/>
    <x v="4"/>
    <m/>
    <m/>
    <m/>
    <x v="38"/>
  </r>
  <r>
    <x v="81"/>
    <m/>
    <x v="4"/>
    <m/>
    <m/>
    <m/>
    <x v="39"/>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5">
  <r>
    <x v="0"/>
    <s v="P001"/>
    <s v="Mouse"/>
    <x v="0"/>
    <n v="10"/>
    <x v="0"/>
    <x v="0"/>
    <x v="0"/>
    <x v="0"/>
  </r>
  <r>
    <x v="0"/>
    <s v="P002"/>
    <s v="Pen"/>
    <x v="0"/>
    <n v="20"/>
    <x v="1"/>
    <x v="0"/>
    <x v="0"/>
    <x v="0"/>
  </r>
  <r>
    <x v="0"/>
    <s v="P002"/>
    <s v="Pen"/>
    <x v="0"/>
    <n v="25"/>
    <x v="1"/>
    <x v="0"/>
    <x v="0"/>
    <x v="0"/>
  </r>
  <r>
    <x v="0"/>
    <s v="P002"/>
    <s v="Pen"/>
    <x v="1"/>
    <n v="5"/>
    <x v="1"/>
    <x v="0"/>
    <x v="0"/>
    <x v="0"/>
  </r>
  <r>
    <x v="0"/>
    <s v="P002"/>
    <s v="Pen"/>
    <x v="1"/>
    <n v="2"/>
    <x v="1"/>
    <x v="0"/>
    <x v="0"/>
    <x v="0"/>
  </r>
  <r>
    <x v="0"/>
    <s v="P002"/>
    <s v="Pen"/>
    <x v="1"/>
    <n v="5"/>
    <x v="1"/>
    <x v="0"/>
    <x v="0"/>
    <x v="0"/>
  </r>
  <r>
    <x v="0"/>
    <s v="P002"/>
    <s v="Pen"/>
    <x v="1"/>
    <n v="5"/>
    <x v="1"/>
    <x v="0"/>
    <x v="0"/>
    <x v="0"/>
  </r>
  <r>
    <x v="0"/>
    <s v="P002"/>
    <s v="Pen"/>
    <x v="0"/>
    <n v="25"/>
    <x v="1"/>
    <x v="0"/>
    <x v="0"/>
    <x v="0"/>
  </r>
  <r>
    <x v="1"/>
    <s v="P003"/>
    <s v="Phone"/>
    <x v="0"/>
    <n v="20"/>
    <x v="0"/>
    <x v="1"/>
    <x v="0"/>
    <x v="0"/>
  </r>
  <r>
    <x v="1"/>
    <s v="P002"/>
    <s v="Pen"/>
    <x v="1"/>
    <n v="5"/>
    <x v="1"/>
    <x v="1"/>
    <x v="0"/>
    <x v="0"/>
  </r>
  <r>
    <x v="2"/>
    <s v="P001"/>
    <s v="Wireless Mouse"/>
    <x v="0"/>
    <n v="45"/>
    <x v="0"/>
    <x v="2"/>
    <x v="0"/>
    <x v="0"/>
  </r>
  <r>
    <x v="2"/>
    <s v="P002"/>
    <s v="Keyboard"/>
    <x v="0"/>
    <n v="20"/>
    <x v="0"/>
    <x v="2"/>
    <x v="0"/>
    <x v="0"/>
  </r>
  <r>
    <x v="2"/>
    <s v="P001"/>
    <s v="Wireless Mouse"/>
    <x v="0"/>
    <n v="20"/>
    <x v="0"/>
    <x v="2"/>
    <x v="0"/>
    <x v="0"/>
  </r>
  <r>
    <x v="2"/>
    <s v="P001"/>
    <s v="Wireless Mouse"/>
    <x v="1"/>
    <n v="5"/>
    <x v="0"/>
    <x v="2"/>
    <x v="0"/>
    <x v="0"/>
  </r>
  <r>
    <x v="2"/>
    <s v="p082"/>
    <s v="Pen"/>
    <x v="0"/>
    <n v="20"/>
    <x v="1"/>
    <x v="2"/>
    <x v="0"/>
    <x v="0"/>
  </r>
  <r>
    <x v="2"/>
    <s v="p082"/>
    <s v="Pen"/>
    <x v="1"/>
    <n v="5"/>
    <x v="1"/>
    <x v="2"/>
    <x v="0"/>
    <x v="0"/>
  </r>
  <r>
    <x v="2"/>
    <s v="p081"/>
    <s v="Phone"/>
    <x v="0"/>
    <n v="6"/>
    <x v="0"/>
    <x v="2"/>
    <x v="0"/>
    <x v="0"/>
  </r>
  <r>
    <x v="2"/>
    <s v="p081"/>
    <s v="Phone"/>
    <x v="0"/>
    <n v="50"/>
    <x v="0"/>
    <x v="2"/>
    <x v="0"/>
    <x v="0"/>
  </r>
  <r>
    <x v="3"/>
    <s v="P002"/>
    <s v="Keyboard"/>
    <x v="1"/>
    <n v="1"/>
    <x v="0"/>
    <x v="3"/>
    <x v="0"/>
    <x v="0"/>
  </r>
  <r>
    <x v="3"/>
    <s v="P001"/>
    <s v="Wireless Mouse"/>
    <x v="1"/>
    <n v="5"/>
    <x v="0"/>
    <x v="3"/>
    <x v="0"/>
    <x v="0"/>
  </r>
  <r>
    <x v="4"/>
    <s v="p082"/>
    <s v="Bullet Rice"/>
    <x v="0"/>
    <n v="200"/>
    <x v="2"/>
    <x v="4"/>
    <x v="0"/>
    <x v="0"/>
  </r>
  <r>
    <x v="4"/>
    <s v="p082"/>
    <s v="Bullet Rice"/>
    <x v="0"/>
    <n v="200"/>
    <x v="2"/>
    <x v="4"/>
    <x v="0"/>
    <x v="0"/>
  </r>
  <r>
    <x v="4"/>
    <s v="P022"/>
    <s v="Wheat Flour"/>
    <x v="0"/>
    <n v="15"/>
    <x v="2"/>
    <x v="4"/>
    <x v="0"/>
    <x v="0"/>
  </r>
  <r>
    <x v="4"/>
    <s v="P023"/>
    <s v="Cooking Oil"/>
    <x v="0"/>
    <n v="22"/>
    <x v="2"/>
    <x v="4"/>
    <x v="0"/>
    <x v="0"/>
  </r>
  <r>
    <x v="4"/>
    <s v="P024"/>
    <s v="Sugar Pack"/>
    <x v="0"/>
    <n v="12"/>
    <x v="2"/>
    <x v="4"/>
    <x v="0"/>
    <x v="0"/>
  </r>
  <r>
    <x v="4"/>
    <s v="P024"/>
    <s v="Sugar Pack"/>
    <x v="0"/>
    <n v="2"/>
    <x v="2"/>
    <x v="4"/>
    <x v="0"/>
    <x v="0"/>
  </r>
  <r>
    <x v="4"/>
    <s v="P023"/>
    <s v="Cooking Oil"/>
    <x v="0"/>
    <n v="25"/>
    <x v="2"/>
    <x v="4"/>
    <x v="0"/>
    <x v="0"/>
  </r>
  <r>
    <x v="4"/>
    <s v="P024"/>
    <s v="Sugar Pack"/>
    <x v="0"/>
    <n v="5"/>
    <x v="2"/>
    <x v="4"/>
    <x v="0"/>
    <x v="0"/>
  </r>
  <r>
    <x v="5"/>
    <m/>
    <m/>
    <x v="2"/>
    <m/>
    <x v="3"/>
    <x v="5"/>
    <x v="1"/>
    <x v="1"/>
  </r>
  <r>
    <x v="5"/>
    <m/>
    <m/>
    <x v="2"/>
    <m/>
    <x v="3"/>
    <x v="5"/>
    <x v="1"/>
    <x v="1"/>
  </r>
  <r>
    <x v="5"/>
    <m/>
    <m/>
    <x v="2"/>
    <m/>
    <x v="3"/>
    <x v="5"/>
    <x v="1"/>
    <x v="1"/>
  </r>
  <r>
    <x v="5"/>
    <m/>
    <m/>
    <x v="2"/>
    <m/>
    <x v="3"/>
    <x v="5"/>
    <x v="1"/>
    <x v="1"/>
  </r>
  <r>
    <x v="5"/>
    <m/>
    <m/>
    <x v="2"/>
    <m/>
    <x v="3"/>
    <x v="5"/>
    <x v="1"/>
    <x v="1"/>
  </r>
  <r>
    <x v="5"/>
    <m/>
    <m/>
    <x v="2"/>
    <m/>
    <x v="3"/>
    <x v="5"/>
    <x v="1"/>
    <x v="1"/>
  </r>
  <r>
    <x v="5"/>
    <m/>
    <m/>
    <x v="2"/>
    <m/>
    <x v="3"/>
    <x v="5"/>
    <x v="1"/>
    <x v="1"/>
  </r>
  <r>
    <x v="5"/>
    <m/>
    <m/>
    <x v="2"/>
    <m/>
    <x v="3"/>
    <x v="5"/>
    <x v="1"/>
    <x v="1"/>
  </r>
  <r>
    <x v="5"/>
    <m/>
    <m/>
    <x v="2"/>
    <m/>
    <x v="3"/>
    <x v="5"/>
    <x v="1"/>
    <x v="1"/>
  </r>
  <r>
    <x v="5"/>
    <m/>
    <m/>
    <x v="2"/>
    <m/>
    <x v="3"/>
    <x v="5"/>
    <x v="1"/>
    <x v="1"/>
  </r>
  <r>
    <x v="5"/>
    <m/>
    <m/>
    <x v="2"/>
    <m/>
    <x v="3"/>
    <x v="5"/>
    <x v="1"/>
    <x v="1"/>
  </r>
  <r>
    <x v="5"/>
    <m/>
    <m/>
    <x v="2"/>
    <m/>
    <x v="3"/>
    <x v="5"/>
    <x v="1"/>
    <x v="1"/>
  </r>
  <r>
    <x v="5"/>
    <m/>
    <m/>
    <x v="2"/>
    <m/>
    <x v="3"/>
    <x v="6"/>
    <x v="2"/>
    <x v="2"/>
  </r>
  <r>
    <x v="5"/>
    <m/>
    <m/>
    <x v="2"/>
    <m/>
    <x v="3"/>
    <x v="6"/>
    <x v="2"/>
    <x v="2"/>
  </r>
  <r>
    <x v="5"/>
    <m/>
    <m/>
    <x v="2"/>
    <m/>
    <x v="3"/>
    <x v="6"/>
    <x v="2"/>
    <x v="2"/>
  </r>
  <r>
    <x v="5"/>
    <m/>
    <m/>
    <x v="2"/>
    <m/>
    <x v="3"/>
    <x v="6"/>
    <x v="2"/>
    <x v="2"/>
  </r>
  <r>
    <x v="5"/>
    <m/>
    <m/>
    <x v="2"/>
    <m/>
    <x v="3"/>
    <x v="6"/>
    <x v="2"/>
    <x v="2"/>
  </r>
  <r>
    <x v="5"/>
    <m/>
    <m/>
    <x v="2"/>
    <m/>
    <x v="3"/>
    <x v="6"/>
    <x v="2"/>
    <x v="2"/>
  </r>
  <r>
    <x v="5"/>
    <m/>
    <m/>
    <x v="2"/>
    <m/>
    <x v="3"/>
    <x v="6"/>
    <x v="2"/>
    <x v="2"/>
  </r>
  <r>
    <x v="5"/>
    <m/>
    <m/>
    <x v="2"/>
    <m/>
    <x v="3"/>
    <x v="6"/>
    <x v="2"/>
    <x v="2"/>
  </r>
  <r>
    <x v="5"/>
    <m/>
    <m/>
    <x v="2"/>
    <m/>
    <x v="3"/>
    <x v="6"/>
    <x v="2"/>
    <x v="2"/>
  </r>
  <r>
    <x v="5"/>
    <m/>
    <m/>
    <x v="2"/>
    <m/>
    <x v="3"/>
    <x v="6"/>
    <x v="2"/>
    <x v="2"/>
  </r>
  <r>
    <x v="5"/>
    <m/>
    <m/>
    <x v="2"/>
    <m/>
    <x v="3"/>
    <x v="6"/>
    <x v="2"/>
    <x v="2"/>
  </r>
  <r>
    <x v="5"/>
    <m/>
    <m/>
    <x v="2"/>
    <m/>
    <x v="3"/>
    <x v="6"/>
    <x v="2"/>
    <x v="2"/>
  </r>
  <r>
    <x v="5"/>
    <m/>
    <m/>
    <x v="2"/>
    <m/>
    <x v="3"/>
    <x v="6"/>
    <x v="2"/>
    <x v="2"/>
  </r>
  <r>
    <x v="5"/>
    <m/>
    <m/>
    <x v="2"/>
    <m/>
    <x v="3"/>
    <x v="6"/>
    <x v="2"/>
    <x v="2"/>
  </r>
  <r>
    <x v="5"/>
    <m/>
    <m/>
    <x v="2"/>
    <m/>
    <x v="3"/>
    <x v="6"/>
    <x v="2"/>
    <x v="2"/>
  </r>
  <r>
    <x v="5"/>
    <m/>
    <m/>
    <x v="2"/>
    <m/>
    <x v="3"/>
    <x v="6"/>
    <x v="2"/>
    <x v="2"/>
  </r>
  <r>
    <x v="5"/>
    <m/>
    <m/>
    <x v="2"/>
    <m/>
    <x v="3"/>
    <x v="6"/>
    <x v="2"/>
    <x v="2"/>
  </r>
  <r>
    <x v="5"/>
    <m/>
    <m/>
    <x v="2"/>
    <m/>
    <x v="3"/>
    <x v="6"/>
    <x v="2"/>
    <x v="2"/>
  </r>
  <r>
    <x v="5"/>
    <m/>
    <m/>
    <x v="2"/>
    <m/>
    <x v="3"/>
    <x v="6"/>
    <x v="2"/>
    <x v="2"/>
  </r>
  <r>
    <x v="5"/>
    <m/>
    <m/>
    <x v="2"/>
    <m/>
    <x v="3"/>
    <x v="6"/>
    <x v="2"/>
    <x v="2"/>
  </r>
  <r>
    <x v="5"/>
    <m/>
    <m/>
    <x v="2"/>
    <m/>
    <x v="3"/>
    <x v="6"/>
    <x v="2"/>
    <x v="2"/>
  </r>
  <r>
    <x v="5"/>
    <m/>
    <m/>
    <x v="2"/>
    <m/>
    <x v="3"/>
    <x v="6"/>
    <x v="2"/>
    <x v="2"/>
  </r>
  <r>
    <x v="5"/>
    <m/>
    <m/>
    <x v="2"/>
    <m/>
    <x v="3"/>
    <x v="6"/>
    <x v="2"/>
    <x v="2"/>
  </r>
  <r>
    <x v="5"/>
    <m/>
    <m/>
    <x v="2"/>
    <m/>
    <x v="3"/>
    <x v="6"/>
    <x v="2"/>
    <x v="2"/>
  </r>
  <r>
    <x v="5"/>
    <m/>
    <m/>
    <x v="2"/>
    <m/>
    <x v="3"/>
    <x v="6"/>
    <x v="2"/>
    <x v="2"/>
  </r>
  <r>
    <x v="5"/>
    <m/>
    <m/>
    <x v="2"/>
    <m/>
    <x v="3"/>
    <x v="6"/>
    <x v="2"/>
    <x v="2"/>
  </r>
  <r>
    <x v="5"/>
    <m/>
    <m/>
    <x v="2"/>
    <m/>
    <x v="3"/>
    <x v="6"/>
    <x v="2"/>
    <x v="2"/>
  </r>
  <r>
    <x v="5"/>
    <m/>
    <m/>
    <x v="2"/>
    <m/>
    <x v="3"/>
    <x v="6"/>
    <x v="2"/>
    <x v="2"/>
  </r>
  <r>
    <x v="5"/>
    <m/>
    <m/>
    <x v="2"/>
    <m/>
    <x v="3"/>
    <x v="6"/>
    <x v="2"/>
    <x v="2"/>
  </r>
  <r>
    <x v="5"/>
    <m/>
    <m/>
    <x v="2"/>
    <m/>
    <x v="3"/>
    <x v="6"/>
    <x v="2"/>
    <x v="2"/>
  </r>
  <r>
    <x v="5"/>
    <m/>
    <m/>
    <x v="2"/>
    <m/>
    <x v="3"/>
    <x v="6"/>
    <x v="2"/>
    <x v="2"/>
  </r>
  <r>
    <x v="5"/>
    <m/>
    <m/>
    <x v="2"/>
    <m/>
    <x v="3"/>
    <x v="6"/>
    <x v="2"/>
    <x v="2"/>
  </r>
  <r>
    <x v="5"/>
    <m/>
    <m/>
    <x v="2"/>
    <m/>
    <x v="3"/>
    <x v="6"/>
    <x v="2"/>
    <x v="2"/>
  </r>
  <r>
    <x v="5"/>
    <m/>
    <m/>
    <x v="2"/>
    <m/>
    <x v="3"/>
    <x v="6"/>
    <x v="2"/>
    <x v="2"/>
  </r>
  <r>
    <x v="5"/>
    <m/>
    <m/>
    <x v="2"/>
    <m/>
    <x v="3"/>
    <x v="6"/>
    <x v="2"/>
    <x v="2"/>
  </r>
  <r>
    <x v="5"/>
    <m/>
    <m/>
    <x v="2"/>
    <m/>
    <x v="3"/>
    <x v="6"/>
    <x v="2"/>
    <x v="2"/>
  </r>
  <r>
    <x v="5"/>
    <m/>
    <m/>
    <x v="2"/>
    <m/>
    <x v="3"/>
    <x v="6"/>
    <x v="2"/>
    <x v="2"/>
  </r>
  <r>
    <x v="5"/>
    <m/>
    <m/>
    <x v="2"/>
    <m/>
    <x v="3"/>
    <x v="6"/>
    <x v="2"/>
    <x v="2"/>
  </r>
  <r>
    <x v="5"/>
    <m/>
    <m/>
    <x v="2"/>
    <m/>
    <x v="3"/>
    <x v="6"/>
    <x v="2"/>
    <x v="2"/>
  </r>
  <r>
    <x v="5"/>
    <m/>
    <m/>
    <x v="2"/>
    <m/>
    <x v="3"/>
    <x v="6"/>
    <x v="2"/>
    <x v="2"/>
  </r>
  <r>
    <x v="5"/>
    <m/>
    <m/>
    <x v="2"/>
    <m/>
    <x v="3"/>
    <x v="6"/>
    <x v="2"/>
    <x v="2"/>
  </r>
  <r>
    <x v="5"/>
    <m/>
    <m/>
    <x v="2"/>
    <m/>
    <x v="3"/>
    <x v="6"/>
    <x v="2"/>
    <x v="2"/>
  </r>
  <r>
    <x v="5"/>
    <m/>
    <m/>
    <x v="2"/>
    <m/>
    <x v="3"/>
    <x v="6"/>
    <x v="2"/>
    <x v="2"/>
  </r>
  <r>
    <x v="5"/>
    <m/>
    <m/>
    <x v="2"/>
    <m/>
    <x v="3"/>
    <x v="6"/>
    <x v="2"/>
    <x v="2"/>
  </r>
  <r>
    <x v="5"/>
    <m/>
    <m/>
    <x v="2"/>
    <m/>
    <x v="3"/>
    <x v="6"/>
    <x v="2"/>
    <x v="2"/>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3">
  <r>
    <x v="0"/>
    <s v="Wireless Mouse"/>
    <x v="0"/>
    <n v="550"/>
    <n v="20"/>
    <n v="15"/>
    <n v="-5"/>
    <x v="0"/>
  </r>
  <r>
    <x v="1"/>
    <s v="Keyboard"/>
    <x v="0"/>
    <n v="1434"/>
    <n v="15"/>
    <n v="11"/>
    <n v="-4"/>
    <x v="0"/>
  </r>
  <r>
    <x v="2"/>
    <s v="USB Flash Drive"/>
    <x v="0"/>
    <n v="950"/>
    <n v="11"/>
    <n v="24"/>
    <n v="13"/>
    <x v="1"/>
  </r>
  <r>
    <x v="3"/>
    <s v="External Hard Disk"/>
    <x v="0"/>
    <n v="3516"/>
    <n v="12"/>
    <n v="24"/>
    <n v="12"/>
    <x v="1"/>
  </r>
  <r>
    <x v="4"/>
    <s v="Bluetooth Speaker"/>
    <x v="0"/>
    <n v="1100"/>
    <n v="10"/>
    <n v="15"/>
    <n v="5"/>
    <x v="1"/>
  </r>
  <r>
    <x v="5"/>
    <s v="Webcam"/>
    <x v="0"/>
    <n v="3500"/>
    <n v="10"/>
    <n v="24"/>
    <n v="14"/>
    <x v="1"/>
  </r>
  <r>
    <x v="6"/>
    <s v="Laptop Charger"/>
    <x v="0"/>
    <n v="1800"/>
    <n v="8"/>
    <n v="21"/>
    <n v="13"/>
    <x v="1"/>
  </r>
  <r>
    <x v="7"/>
    <s v="HDMI Cable"/>
    <x v="0"/>
    <n v="250"/>
    <n v="10"/>
    <n v="25"/>
    <n v="15"/>
    <x v="1"/>
  </r>
  <r>
    <x v="8"/>
    <s v="Power Bank"/>
    <x v="0"/>
    <n v="3500"/>
    <n v="15"/>
    <n v="20"/>
    <n v="5"/>
    <x v="1"/>
  </r>
  <r>
    <x v="9"/>
    <s v="WiFi Router"/>
    <x v="0"/>
    <n v="3750"/>
    <n v="5"/>
    <n v="12"/>
    <n v="7"/>
    <x v="1"/>
  </r>
  <r>
    <x v="10"/>
    <s v="Monitor"/>
    <x v="0"/>
    <n v="5600"/>
    <n v="5"/>
    <n v="6"/>
    <n v="1"/>
    <x v="1"/>
  </r>
  <r>
    <x v="11"/>
    <s v="Headphones"/>
    <x v="0"/>
    <n v="4500"/>
    <n v="12"/>
    <n v="12"/>
    <n v="0"/>
    <x v="0"/>
  </r>
  <r>
    <x v="12"/>
    <s v="Smart Watch"/>
    <x v="0"/>
    <n v="1200"/>
    <n v="10"/>
    <n v="3"/>
    <n v="-7"/>
    <x v="0"/>
  </r>
  <r>
    <x v="13"/>
    <s v="Mobile Stand"/>
    <x v="0"/>
    <n v="600"/>
    <n v="12"/>
    <n v="15"/>
    <n v="3"/>
    <x v="1"/>
  </r>
  <r>
    <x v="14"/>
    <s v="Extension Board"/>
    <x v="0"/>
    <n v="450"/>
    <n v="10"/>
    <n v="10"/>
    <n v="0"/>
    <x v="0"/>
  </r>
  <r>
    <x v="15"/>
    <s v="Printer"/>
    <x v="0"/>
    <n v="8600"/>
    <n v="5"/>
    <n v="8"/>
    <n v="3"/>
    <x v="1"/>
  </r>
  <r>
    <x v="16"/>
    <s v="Scanner"/>
    <x v="0"/>
    <n v="5500"/>
    <n v="10"/>
    <n v="6"/>
    <n v="-4"/>
    <x v="0"/>
  </r>
  <r>
    <x v="17"/>
    <s v="Graphics Tablet"/>
    <x v="0"/>
    <n v="4500"/>
    <n v="10"/>
    <n v="15"/>
    <n v="5"/>
    <x v="1"/>
  </r>
  <r>
    <x v="18"/>
    <s v="Router Antenna"/>
    <x v="0"/>
    <n v="1600"/>
    <n v="6"/>
    <n v="13"/>
    <n v="7"/>
    <x v="1"/>
  </r>
  <r>
    <x v="19"/>
    <s v="SSD Drive"/>
    <x v="0"/>
    <n v="2100"/>
    <n v="8"/>
    <n v="12"/>
    <n v="4"/>
    <x v="1"/>
  </r>
  <r>
    <x v="20"/>
    <s v="Rice Bag"/>
    <x v="1"/>
    <n v="2150"/>
    <n v="6"/>
    <n v="24"/>
    <n v="18"/>
    <x v="1"/>
  </r>
  <r>
    <x v="21"/>
    <s v="Wheat Flour"/>
    <x v="1"/>
    <n v="80"/>
    <n v="12"/>
    <n v="30"/>
    <n v="18"/>
    <x v="1"/>
  </r>
  <r>
    <x v="22"/>
    <s v="Cooking Oil"/>
    <x v="1"/>
    <n v="180"/>
    <n v="18"/>
    <n v="59"/>
    <n v="41"/>
    <x v="1"/>
  </r>
  <r>
    <x v="23"/>
    <s v="Sugar Pack"/>
    <x v="1"/>
    <n v="60"/>
    <n v="25"/>
    <n v="39"/>
    <n v="14"/>
    <x v="1"/>
  </r>
  <r>
    <x v="24"/>
    <s v="Salt Packet"/>
    <x v="1"/>
    <n v="850"/>
    <n v="30"/>
    <n v="25"/>
    <n v="-5"/>
    <x v="0"/>
  </r>
  <r>
    <x v="25"/>
    <s v="Tea Powder"/>
    <x v="1"/>
    <n v="690"/>
    <n v="10"/>
    <n v="12"/>
    <n v="2"/>
    <x v="1"/>
  </r>
  <r>
    <x v="26"/>
    <s v="Coffee Powder"/>
    <x v="1"/>
    <n v="840"/>
    <n v="8"/>
    <n v="12"/>
    <n v="4"/>
    <x v="1"/>
  </r>
  <r>
    <x v="27"/>
    <s v="Milk Packet"/>
    <x v="1"/>
    <n v="56"/>
    <n v="25"/>
    <n v="16"/>
    <n v="-9"/>
    <x v="0"/>
  </r>
  <r>
    <x v="28"/>
    <s v="Pulses Pack"/>
    <x v="1"/>
    <n v="350"/>
    <n v="16"/>
    <n v="20"/>
    <n v="4"/>
    <x v="1"/>
  </r>
  <r>
    <x v="29"/>
    <s v="Spice Box"/>
    <x v="1"/>
    <n v="420"/>
    <n v="15"/>
    <n v="25"/>
    <n v="10"/>
    <x v="1"/>
  </r>
  <r>
    <x v="30"/>
    <s v="Soap Bar"/>
    <x v="1"/>
    <n v="25"/>
    <n v="30"/>
    <n v="65"/>
    <n v="35"/>
    <x v="1"/>
  </r>
  <r>
    <x v="31"/>
    <s v="Shampoo Bottle"/>
    <x v="1"/>
    <n v="120"/>
    <n v="10"/>
    <n v="12"/>
    <n v="2"/>
    <x v="1"/>
  </r>
  <r>
    <x v="32"/>
    <s v="Toothpaste"/>
    <x v="1"/>
    <n v="160"/>
    <n v="12"/>
    <n v="24"/>
    <n v="12"/>
    <x v="1"/>
  </r>
  <r>
    <x v="33"/>
    <s v="Dish Wash Liquid"/>
    <x v="1"/>
    <n v="60"/>
    <n v="20"/>
    <n v="30"/>
    <n v="10"/>
    <x v="1"/>
  </r>
  <r>
    <x v="34"/>
    <s v="Detergent Powder"/>
    <x v="1"/>
    <n v="85"/>
    <n v="25"/>
    <n v="20"/>
    <n v="-5"/>
    <x v="0"/>
  </r>
  <r>
    <x v="35"/>
    <s v="Biscuits Pack"/>
    <x v="1"/>
    <n v="10"/>
    <n v="35"/>
    <n v="45"/>
    <n v="10"/>
    <x v="1"/>
  </r>
  <r>
    <x v="36"/>
    <s v="Instant Noodles"/>
    <x v="1"/>
    <n v="20"/>
    <n v="15"/>
    <n v="25"/>
    <n v="10"/>
    <x v="1"/>
  </r>
  <r>
    <x v="37"/>
    <s v="Dry Fruits Pack"/>
    <x v="1"/>
    <n v="1510"/>
    <n v="15"/>
    <n v="25"/>
    <n v="10"/>
    <x v="1"/>
  </r>
  <r>
    <x v="38"/>
    <s v="Breakfast Cereal"/>
    <x v="1"/>
    <n v="1150"/>
    <n v="12"/>
    <n v="16"/>
    <n v="4"/>
    <x v="1"/>
  </r>
  <r>
    <x v="39"/>
    <s v="Water Bottle"/>
    <x v="1"/>
    <n v="250"/>
    <n v="25"/>
    <n v="14"/>
    <n v="-11"/>
    <x v="0"/>
  </r>
  <r>
    <x v="40"/>
    <s v="Ball Pen"/>
    <x v="2"/>
    <n v="10"/>
    <n v="30"/>
    <n v="40"/>
    <n v="10"/>
    <x v="1"/>
  </r>
  <r>
    <x v="41"/>
    <s v="Notebook"/>
    <x v="2"/>
    <n v="50"/>
    <n v="30"/>
    <n v="50"/>
    <n v="20"/>
    <x v="1"/>
  </r>
  <r>
    <x v="42"/>
    <s v="Pencil Box"/>
    <x v="2"/>
    <n v="80"/>
    <n v="20"/>
    <n v="35"/>
    <n v="15"/>
    <x v="1"/>
  </r>
  <r>
    <x v="43"/>
    <s v="Eraser"/>
    <x v="2"/>
    <n v="10"/>
    <n v="20"/>
    <n v="12"/>
    <n v="-8"/>
    <x v="0"/>
  </r>
  <r>
    <x v="44"/>
    <s v="Sharpener"/>
    <x v="2"/>
    <n v="10"/>
    <n v="25"/>
    <n v="45"/>
    <n v="20"/>
    <x v="1"/>
  </r>
  <r>
    <x v="45"/>
    <s v="Marker Pen"/>
    <x v="2"/>
    <n v="30"/>
    <n v="20"/>
    <n v="24"/>
    <n v="4"/>
    <x v="1"/>
  </r>
  <r>
    <x v="46"/>
    <s v="Highlighter"/>
    <x v="2"/>
    <n v="40"/>
    <n v="25"/>
    <n v="35"/>
    <n v="10"/>
    <x v="1"/>
  </r>
  <r>
    <x v="47"/>
    <s v="Stapler"/>
    <x v="2"/>
    <n v="80"/>
    <n v="30"/>
    <n v="24"/>
    <n v="-6"/>
    <x v="0"/>
  </r>
  <r>
    <x v="48"/>
    <s v="Paper Clips"/>
    <x v="2"/>
    <n v="20"/>
    <n v="20"/>
    <n v="31"/>
    <n v="11"/>
    <x v="1"/>
  </r>
  <r>
    <x v="49"/>
    <s v="Sketch Pens"/>
    <x v="2"/>
    <n v="40"/>
    <n v="35"/>
    <n v="62"/>
    <n v="27"/>
    <x v="1"/>
  </r>
  <r>
    <x v="50"/>
    <s v="White Board Marker"/>
    <x v="2"/>
    <n v="60"/>
    <n v="45"/>
    <n v="21"/>
    <n v="-24"/>
    <x v="0"/>
  </r>
  <r>
    <x v="51"/>
    <s v="Sticky Notes"/>
    <x v="2"/>
    <n v="55"/>
    <n v="25"/>
    <n v="24"/>
    <n v="-1"/>
    <x v="0"/>
  </r>
  <r>
    <x v="52"/>
    <s v="A4 Paper Bundle"/>
    <x v="2"/>
    <n v="660"/>
    <n v="24"/>
    <n v="21"/>
    <n v="-3"/>
    <x v="0"/>
  </r>
  <r>
    <x v="53"/>
    <s v="Calculator"/>
    <x v="2"/>
    <n v="1050"/>
    <n v="12"/>
    <n v="36"/>
    <n v="24"/>
    <x v="1"/>
  </r>
  <r>
    <x v="54"/>
    <s v="Geometry Box"/>
    <x v="2"/>
    <n v="250"/>
    <n v="30"/>
    <n v="24"/>
    <n v="-6"/>
    <x v="0"/>
  </r>
  <r>
    <x v="55"/>
    <s v="File Folder"/>
    <x v="2"/>
    <n v="30"/>
    <n v="24"/>
    <n v="23"/>
    <n v="-1"/>
    <x v="0"/>
  </r>
  <r>
    <x v="56"/>
    <s v="Exam Pad"/>
    <x v="2"/>
    <n v="150"/>
    <n v="30"/>
    <n v="15"/>
    <n v="-15"/>
    <x v="0"/>
  </r>
  <r>
    <x v="57"/>
    <s v="Glue Stick"/>
    <x v="2"/>
    <n v="60"/>
    <n v="20"/>
    <n v="62"/>
    <n v="42"/>
    <x v="1"/>
  </r>
  <r>
    <x v="58"/>
    <s v="Correction Pen"/>
    <x v="2"/>
    <n v="30"/>
    <n v="50"/>
    <n v="23"/>
    <n v="-27"/>
    <x v="0"/>
  </r>
  <r>
    <x v="59"/>
    <s v="Ruler Scale"/>
    <x v="2"/>
    <n v="40"/>
    <n v="30"/>
    <n v="27"/>
    <n v="-3"/>
    <x v="0"/>
  </r>
  <r>
    <x v="60"/>
    <s v="Office Chair"/>
    <x v="3"/>
    <n v="1150"/>
    <n v="12"/>
    <n v="37"/>
    <n v="25"/>
    <x v="1"/>
  </r>
  <r>
    <x v="61"/>
    <s v="Study Table"/>
    <x v="3"/>
    <n v="2450"/>
    <n v="18"/>
    <n v="28"/>
    <n v="10"/>
    <x v="1"/>
  </r>
  <r>
    <x v="62"/>
    <s v="Bookshelf"/>
    <x v="3"/>
    <n v="2599"/>
    <n v="6"/>
    <n v="5"/>
    <n v="-1"/>
    <x v="0"/>
  </r>
  <r>
    <x v="63"/>
    <s v="Wooden Stool"/>
    <x v="3"/>
    <n v="3499"/>
    <n v="12"/>
    <n v="18"/>
    <n v="6"/>
    <x v="1"/>
  </r>
  <r>
    <x v="64"/>
    <s v="Computer Desk"/>
    <x v="3"/>
    <n v="4599"/>
    <n v="15"/>
    <n v="27"/>
    <n v="12"/>
    <x v="1"/>
  </r>
  <r>
    <x v="65"/>
    <s v="Filing Cabinet"/>
    <x v="3"/>
    <n v="12599"/>
    <n v="6"/>
    <n v="12"/>
    <n v="6"/>
    <x v="1"/>
  </r>
  <r>
    <x v="66"/>
    <s v="Cupboard"/>
    <x v="3"/>
    <n v="9500"/>
    <n v="3"/>
    <n v="9"/>
    <n v="6"/>
    <x v="1"/>
  </r>
  <r>
    <x v="67"/>
    <s v="Conference Table"/>
    <x v="3"/>
    <n v="9899"/>
    <n v="3"/>
    <n v="4"/>
    <n v="1"/>
    <x v="1"/>
  </r>
  <r>
    <x v="68"/>
    <s v="Visitor Chair"/>
    <x v="3"/>
    <n v="2688"/>
    <n v="10"/>
    <n v="17"/>
    <n v="7"/>
    <x v="1"/>
  </r>
  <r>
    <x v="69"/>
    <s v="Drawer Unit"/>
    <x v="3"/>
    <n v="3500"/>
    <n v="6"/>
    <n v="8"/>
    <n v="2"/>
    <x v="1"/>
  </r>
  <r>
    <x v="70"/>
    <s v="Side Table"/>
    <x v="3"/>
    <n v="1200"/>
    <n v="6"/>
    <n v="5"/>
    <n v="-1"/>
    <x v="0"/>
  </r>
  <r>
    <x v="71"/>
    <s v="Sofa Set"/>
    <x v="3"/>
    <n v="12899"/>
    <n v="3"/>
    <n v="6"/>
    <n v="3"/>
    <x v="1"/>
  </r>
  <r>
    <x v="72"/>
    <s v="Plastic Chair"/>
    <x v="3"/>
    <n v="1250"/>
    <n v="15"/>
    <n v="23"/>
    <n v="8"/>
    <x v="1"/>
  </r>
  <r>
    <x v="73"/>
    <s v="Dining Table"/>
    <x v="3"/>
    <n v="26000"/>
    <n v="5"/>
    <n v="7"/>
    <n v="2"/>
    <x v="1"/>
  </r>
  <r>
    <x v="74"/>
    <s v="TV Stand"/>
    <x v="3"/>
    <n v="1200"/>
    <n v="12"/>
    <n v="10"/>
    <n v="-2"/>
    <x v="0"/>
  </r>
  <r>
    <x v="75"/>
    <s v="Bed Frame"/>
    <x v="3"/>
    <n v="12600"/>
    <n v="6"/>
    <n v="8"/>
    <n v="2"/>
    <x v="1"/>
  </r>
  <r>
    <x v="76"/>
    <s v="Mattress"/>
    <x v="3"/>
    <n v="5700"/>
    <n v="5"/>
    <n v="7"/>
    <n v="2"/>
    <x v="1"/>
  </r>
  <r>
    <x v="77"/>
    <s v="Wardrobe"/>
    <x v="3"/>
    <n v="10500"/>
    <n v="6"/>
    <n v="13"/>
    <n v="7"/>
    <x v="1"/>
  </r>
  <r>
    <x v="78"/>
    <s v="Coffee Table"/>
    <x v="3"/>
    <n v="2799"/>
    <n v="5"/>
    <n v="14"/>
    <n v="9"/>
    <x v="1"/>
  </r>
  <r>
    <x v="79"/>
    <s v="Foot Rest"/>
    <x v="3"/>
    <n v="1699"/>
    <n v="5"/>
    <n v="21"/>
    <n v="16"/>
    <x v="1"/>
  </r>
  <r>
    <x v="80"/>
    <s v="Mobile"/>
    <x v="0"/>
    <s v="25000"/>
    <s v="10"/>
    <n v="0"/>
    <n v="-10"/>
    <x v="0"/>
  </r>
  <r>
    <x v="81"/>
    <s v="Bullet Rice"/>
    <x v="1"/>
    <s v="85"/>
    <s v="100"/>
    <n v="200"/>
    <m/>
    <x v="1"/>
  </r>
  <r>
    <x v="82"/>
    <m/>
    <x v="4"/>
    <m/>
    <m/>
    <m/>
    <s v=" "/>
    <x v="1"/>
  </r>
  <r>
    <x v="82"/>
    <m/>
    <x v="4"/>
    <m/>
    <m/>
    <m/>
    <s v=" "/>
    <x v="1"/>
  </r>
  <r>
    <x v="82"/>
    <m/>
    <x v="4"/>
    <m/>
    <m/>
    <m/>
    <s v=" "/>
    <x v="1"/>
  </r>
  <r>
    <x v="82"/>
    <m/>
    <x v="4"/>
    <m/>
    <m/>
    <m/>
    <s v=" "/>
    <x v="1"/>
  </r>
  <r>
    <x v="82"/>
    <m/>
    <x v="4"/>
    <m/>
    <m/>
    <m/>
    <s v=" "/>
    <x v="1"/>
  </r>
  <r>
    <x v="82"/>
    <m/>
    <x v="4"/>
    <m/>
    <m/>
    <m/>
    <s v=" "/>
    <x v="1"/>
  </r>
  <r>
    <x v="82"/>
    <m/>
    <x v="4"/>
    <m/>
    <m/>
    <m/>
    <s v=" "/>
    <x v="1"/>
  </r>
  <r>
    <x v="82"/>
    <m/>
    <x v="4"/>
    <m/>
    <m/>
    <m/>
    <s v=" "/>
    <x v="1"/>
  </r>
  <r>
    <x v="82"/>
    <m/>
    <x v="4"/>
    <m/>
    <m/>
    <m/>
    <s v=" "/>
    <x v="1"/>
  </r>
  <r>
    <x v="82"/>
    <m/>
    <x v="4"/>
    <m/>
    <m/>
    <m/>
    <s v=" "/>
    <x v="1"/>
  </r>
  <r>
    <x v="82"/>
    <m/>
    <x v="4"/>
    <m/>
    <m/>
    <m/>
    <s v=" "/>
    <x v="1"/>
  </r>
  <r>
    <x v="82"/>
    <m/>
    <x v="4"/>
    <m/>
    <m/>
    <m/>
    <s v=" "/>
    <x v="1"/>
  </r>
  <r>
    <x v="82"/>
    <m/>
    <x v="4"/>
    <m/>
    <m/>
    <m/>
    <s v=" "/>
    <x v="1"/>
  </r>
  <r>
    <x v="82"/>
    <m/>
    <x v="4"/>
    <m/>
    <m/>
    <m/>
    <s v=" "/>
    <x v="1"/>
  </r>
  <r>
    <x v="82"/>
    <m/>
    <x v="4"/>
    <m/>
    <m/>
    <m/>
    <s v=" "/>
    <x v="1"/>
  </r>
  <r>
    <x v="82"/>
    <m/>
    <x v="4"/>
    <m/>
    <m/>
    <m/>
    <s v=" "/>
    <x v="1"/>
  </r>
  <r>
    <x v="82"/>
    <m/>
    <x v="4"/>
    <m/>
    <m/>
    <m/>
    <s v=" "/>
    <x v="1"/>
  </r>
  <r>
    <x v="82"/>
    <m/>
    <x v="4"/>
    <m/>
    <m/>
    <m/>
    <s v=" "/>
    <x v="1"/>
  </r>
  <r>
    <x v="82"/>
    <m/>
    <x v="4"/>
    <m/>
    <m/>
    <m/>
    <s v=" "/>
    <x v="1"/>
  </r>
  <r>
    <x v="82"/>
    <m/>
    <x v="4"/>
    <m/>
    <m/>
    <m/>
    <s v=" "/>
    <x v="1"/>
  </r>
  <r>
    <x v="82"/>
    <m/>
    <x v="4"/>
    <m/>
    <m/>
    <m/>
    <s v=" "/>
    <x v="1"/>
  </r>
  <r>
    <x v="82"/>
    <m/>
    <x v="4"/>
    <m/>
    <m/>
    <m/>
    <s v=" "/>
    <x v="1"/>
  </r>
  <r>
    <x v="82"/>
    <m/>
    <x v="4"/>
    <m/>
    <m/>
    <m/>
    <s v=" "/>
    <x v="1"/>
  </r>
  <r>
    <x v="82"/>
    <m/>
    <x v="4"/>
    <m/>
    <m/>
    <m/>
    <s v=" "/>
    <x v="1"/>
  </r>
  <r>
    <x v="82"/>
    <m/>
    <x v="4"/>
    <m/>
    <m/>
    <m/>
    <s v=" "/>
    <x v="1"/>
  </r>
  <r>
    <x v="82"/>
    <m/>
    <x v="4"/>
    <m/>
    <m/>
    <m/>
    <s v=" "/>
    <x v="1"/>
  </r>
  <r>
    <x v="82"/>
    <m/>
    <x v="4"/>
    <m/>
    <m/>
    <m/>
    <s v=" "/>
    <x v="1"/>
  </r>
  <r>
    <x v="82"/>
    <m/>
    <x v="4"/>
    <m/>
    <m/>
    <m/>
    <s v=" "/>
    <x v="1"/>
  </r>
  <r>
    <x v="82"/>
    <m/>
    <x v="4"/>
    <m/>
    <m/>
    <m/>
    <s v=" "/>
    <x v="1"/>
  </r>
  <r>
    <x v="82"/>
    <m/>
    <x v="4"/>
    <m/>
    <m/>
    <m/>
    <s v=" "/>
    <x v="1"/>
  </r>
  <r>
    <x v="82"/>
    <m/>
    <x v="4"/>
    <m/>
    <m/>
    <m/>
    <s v=" "/>
    <x v="1"/>
  </r>
  <r>
    <x v="82"/>
    <m/>
    <x v="4"/>
    <m/>
    <m/>
    <m/>
    <s v=" "/>
    <x v="1"/>
  </r>
  <r>
    <x v="82"/>
    <m/>
    <x v="4"/>
    <m/>
    <m/>
    <m/>
    <s v=" "/>
    <x v="1"/>
  </r>
  <r>
    <x v="82"/>
    <m/>
    <x v="4"/>
    <m/>
    <m/>
    <m/>
    <s v=" "/>
    <x v="1"/>
  </r>
  <r>
    <x v="82"/>
    <m/>
    <x v="4"/>
    <m/>
    <m/>
    <m/>
    <s v=" "/>
    <x v="1"/>
  </r>
  <r>
    <x v="82"/>
    <m/>
    <x v="4"/>
    <m/>
    <m/>
    <m/>
    <s v=" "/>
    <x v="1"/>
  </r>
  <r>
    <x v="82"/>
    <m/>
    <x v="4"/>
    <m/>
    <m/>
    <m/>
    <s v=" "/>
    <x v="1"/>
  </r>
  <r>
    <x v="82"/>
    <m/>
    <x v="4"/>
    <m/>
    <m/>
    <m/>
    <s v=" "/>
    <x v="1"/>
  </r>
  <r>
    <x v="82"/>
    <m/>
    <x v="4"/>
    <m/>
    <m/>
    <m/>
    <s v=" "/>
    <x v="1"/>
  </r>
  <r>
    <x v="82"/>
    <m/>
    <x v="4"/>
    <m/>
    <m/>
    <m/>
    <s v=" "/>
    <x v="1"/>
  </r>
  <r>
    <x v="82"/>
    <m/>
    <x v="4"/>
    <m/>
    <m/>
    <m/>
    <s v=" "/>
    <x v="1"/>
  </r>
  <r>
    <x v="82"/>
    <m/>
    <x v="4"/>
    <m/>
    <m/>
    <m/>
    <s v=" "/>
    <x v="1"/>
  </r>
  <r>
    <x v="82"/>
    <m/>
    <x v="4"/>
    <m/>
    <m/>
    <m/>
    <s v=" "/>
    <x v="1"/>
  </r>
  <r>
    <x v="82"/>
    <m/>
    <x v="4"/>
    <m/>
    <m/>
    <m/>
    <s v=" "/>
    <x v="1"/>
  </r>
  <r>
    <x v="82"/>
    <m/>
    <x v="4"/>
    <m/>
    <m/>
    <m/>
    <s v=" "/>
    <x v="1"/>
  </r>
  <r>
    <x v="82"/>
    <m/>
    <x v="4"/>
    <m/>
    <m/>
    <m/>
    <s v=" "/>
    <x v="1"/>
  </r>
  <r>
    <x v="82"/>
    <m/>
    <x v="4"/>
    <m/>
    <m/>
    <m/>
    <s v=" "/>
    <x v="1"/>
  </r>
  <r>
    <x v="82"/>
    <m/>
    <x v="4"/>
    <m/>
    <m/>
    <m/>
    <s v=" "/>
    <x v="1"/>
  </r>
  <r>
    <x v="82"/>
    <m/>
    <x v="4"/>
    <m/>
    <m/>
    <m/>
    <s v=" "/>
    <x v="1"/>
  </r>
  <r>
    <x v="82"/>
    <m/>
    <x v="4"/>
    <m/>
    <m/>
    <m/>
    <s v=" "/>
    <x v="1"/>
  </r>
  <r>
    <x v="82"/>
    <m/>
    <x v="4"/>
    <m/>
    <m/>
    <m/>
    <s v=" "/>
    <x v="1"/>
  </r>
  <r>
    <x v="82"/>
    <m/>
    <x v="4"/>
    <m/>
    <m/>
    <m/>
    <s v=" "/>
    <x v="1"/>
  </r>
  <r>
    <x v="82"/>
    <m/>
    <x v="4"/>
    <m/>
    <m/>
    <m/>
    <s v=" "/>
    <x v="1"/>
  </r>
  <r>
    <x v="82"/>
    <m/>
    <x v="4"/>
    <m/>
    <m/>
    <m/>
    <s v=" "/>
    <x v="1"/>
  </r>
  <r>
    <x v="82"/>
    <m/>
    <x v="4"/>
    <m/>
    <m/>
    <m/>
    <s v=" "/>
    <x v="1"/>
  </r>
  <r>
    <x v="82"/>
    <m/>
    <x v="4"/>
    <m/>
    <m/>
    <m/>
    <s v=" "/>
    <x v="1"/>
  </r>
  <r>
    <x v="82"/>
    <m/>
    <x v="4"/>
    <m/>
    <m/>
    <m/>
    <s v=" "/>
    <x v="1"/>
  </r>
  <r>
    <x v="82"/>
    <m/>
    <x v="4"/>
    <m/>
    <m/>
    <m/>
    <s v=" "/>
    <x v="1"/>
  </r>
  <r>
    <x v="82"/>
    <m/>
    <x v="4"/>
    <m/>
    <m/>
    <m/>
    <s v=" "/>
    <x v="1"/>
  </r>
  <r>
    <x v="82"/>
    <m/>
    <x v="4"/>
    <m/>
    <m/>
    <m/>
    <s v=" "/>
    <x v="1"/>
  </r>
  <r>
    <x v="82"/>
    <m/>
    <x v="4"/>
    <m/>
    <m/>
    <m/>
    <m/>
    <x v="2"/>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6">
  <r>
    <s v="P001"/>
    <s v="Wireless Mouse"/>
    <x v="0"/>
    <n v="550"/>
    <n v="20"/>
    <n v="15"/>
  </r>
  <r>
    <s v="P002"/>
    <s v="Keyboard"/>
    <x v="0"/>
    <n v="1434"/>
    <n v="15"/>
    <n v="11"/>
  </r>
  <r>
    <s v="P003"/>
    <s v="USB Flash Drive"/>
    <x v="0"/>
    <n v="950"/>
    <n v="11"/>
    <n v="24"/>
  </r>
  <r>
    <s v="P004"/>
    <s v="External Hard Disk"/>
    <x v="0"/>
    <n v="3516"/>
    <n v="12"/>
    <n v="24"/>
  </r>
  <r>
    <s v="P005"/>
    <s v="Bluetooth Speaker"/>
    <x v="0"/>
    <n v="1100"/>
    <n v="10"/>
    <n v="15"/>
  </r>
  <r>
    <s v="P006"/>
    <s v="Webcam"/>
    <x v="0"/>
    <n v="3500"/>
    <n v="10"/>
    <n v="24"/>
  </r>
  <r>
    <s v="P007"/>
    <s v="Laptop Charger"/>
    <x v="0"/>
    <n v="1800"/>
    <n v="8"/>
    <n v="21"/>
  </r>
  <r>
    <s v="P008"/>
    <s v="HDMI Cable"/>
    <x v="0"/>
    <n v="250"/>
    <n v="10"/>
    <n v="25"/>
  </r>
  <r>
    <s v="P009"/>
    <s v="Power Bank"/>
    <x v="0"/>
    <n v="3500"/>
    <n v="15"/>
    <n v="20"/>
  </r>
  <r>
    <s v="P010"/>
    <s v="WiFi Router"/>
    <x v="0"/>
    <n v="3750"/>
    <n v="5"/>
    <n v="12"/>
  </r>
  <r>
    <s v="P011"/>
    <s v="Monitor"/>
    <x v="0"/>
    <n v="5600"/>
    <n v="5"/>
    <n v="6"/>
  </r>
  <r>
    <s v="P012"/>
    <s v="Headphones"/>
    <x v="0"/>
    <n v="4500"/>
    <n v="12"/>
    <n v="12"/>
  </r>
  <r>
    <s v="P013"/>
    <s v="Smart Watch"/>
    <x v="0"/>
    <n v="1200"/>
    <n v="10"/>
    <n v="3"/>
  </r>
  <r>
    <s v="P014"/>
    <s v="Mobile Stand"/>
    <x v="0"/>
    <n v="600"/>
    <n v="12"/>
    <n v="15"/>
  </r>
  <r>
    <s v="P015"/>
    <s v="Extension Board"/>
    <x v="0"/>
    <n v="450"/>
    <n v="10"/>
    <n v="10"/>
  </r>
  <r>
    <s v="P016"/>
    <s v="Printer"/>
    <x v="0"/>
    <n v="8600"/>
    <n v="5"/>
    <n v="8"/>
  </r>
  <r>
    <s v="P017"/>
    <s v="Scanner"/>
    <x v="0"/>
    <n v="5500"/>
    <n v="10"/>
    <n v="6"/>
  </r>
  <r>
    <s v="P018"/>
    <s v="Graphics Tablet"/>
    <x v="0"/>
    <n v="4500"/>
    <n v="10"/>
    <n v="15"/>
  </r>
  <r>
    <s v="P019"/>
    <s v="Router Antenna"/>
    <x v="0"/>
    <n v="1600"/>
    <n v="6"/>
    <n v="13"/>
  </r>
  <r>
    <s v="P020"/>
    <s v="SSD Drive"/>
    <x v="0"/>
    <n v="2100"/>
    <n v="8"/>
    <n v="12"/>
  </r>
  <r>
    <s v="P021"/>
    <s v="Rice Bag"/>
    <x v="1"/>
    <n v="2150"/>
    <n v="6"/>
    <n v="24"/>
  </r>
  <r>
    <s v="P022"/>
    <s v="Wheat Flour"/>
    <x v="1"/>
    <n v="80"/>
    <n v="12"/>
    <n v="30"/>
  </r>
  <r>
    <s v="P023"/>
    <s v="Cooking Oil"/>
    <x v="1"/>
    <n v="180"/>
    <n v="18"/>
    <n v="59"/>
  </r>
  <r>
    <s v="P024"/>
    <s v="Sugar Pack"/>
    <x v="1"/>
    <n v="60"/>
    <n v="25"/>
    <n v="39"/>
  </r>
  <r>
    <s v="P025"/>
    <s v="Salt Packet"/>
    <x v="1"/>
    <n v="850"/>
    <n v="30"/>
    <n v="25"/>
  </r>
  <r>
    <s v="P026"/>
    <s v="Tea Powder"/>
    <x v="1"/>
    <n v="690"/>
    <n v="10"/>
    <n v="12"/>
  </r>
  <r>
    <s v="P027"/>
    <s v="Coffee Powder"/>
    <x v="1"/>
    <n v="840"/>
    <n v="8"/>
    <n v="12"/>
  </r>
  <r>
    <s v="P028"/>
    <s v="Milk Packet"/>
    <x v="1"/>
    <n v="56"/>
    <n v="25"/>
    <n v="16"/>
  </r>
  <r>
    <s v="P029"/>
    <s v="Pulses Pack"/>
    <x v="1"/>
    <n v="350"/>
    <n v="16"/>
    <n v="20"/>
  </r>
  <r>
    <s v="P030"/>
    <s v="Spice Box"/>
    <x v="1"/>
    <n v="420"/>
    <n v="15"/>
    <n v="25"/>
  </r>
  <r>
    <s v="P031"/>
    <s v="Soap Bar"/>
    <x v="1"/>
    <n v="25"/>
    <n v="30"/>
    <n v="65"/>
  </r>
  <r>
    <s v="P032"/>
    <s v="Shampoo Bottle"/>
    <x v="1"/>
    <n v="120"/>
    <n v="10"/>
    <n v="12"/>
  </r>
  <r>
    <s v="P033"/>
    <s v="Toothpaste"/>
    <x v="1"/>
    <n v="160"/>
    <n v="12"/>
    <n v="24"/>
  </r>
  <r>
    <s v="P034"/>
    <s v="Dish Wash Liquid"/>
    <x v="1"/>
    <n v="60"/>
    <n v="20"/>
    <n v="30"/>
  </r>
  <r>
    <s v="P035"/>
    <s v="Detergent Powder"/>
    <x v="1"/>
    <n v="85"/>
    <n v="25"/>
    <n v="20"/>
  </r>
  <r>
    <s v="P036"/>
    <s v="Biscuits Pack"/>
    <x v="1"/>
    <n v="10"/>
    <n v="35"/>
    <n v="45"/>
  </r>
  <r>
    <s v="P037"/>
    <s v="Instant Noodles"/>
    <x v="1"/>
    <n v="20"/>
    <n v="15"/>
    <n v="25"/>
  </r>
  <r>
    <s v="P038"/>
    <s v="Dry Fruits Pack"/>
    <x v="1"/>
    <n v="1510"/>
    <n v="15"/>
    <n v="25"/>
  </r>
  <r>
    <s v="P039"/>
    <s v="Breakfast Cereal"/>
    <x v="1"/>
    <n v="1150"/>
    <n v="12"/>
    <n v="16"/>
  </r>
  <r>
    <s v="P040"/>
    <s v="Water Bottle"/>
    <x v="1"/>
    <n v="250"/>
    <n v="25"/>
    <n v="14"/>
  </r>
  <r>
    <s v="P041"/>
    <s v="Ball Pen"/>
    <x v="2"/>
    <n v="10"/>
    <n v="30"/>
    <n v="40"/>
  </r>
  <r>
    <s v="P042"/>
    <s v="Notebook"/>
    <x v="2"/>
    <n v="50"/>
    <n v="30"/>
    <n v="50"/>
  </r>
  <r>
    <s v="P043"/>
    <s v="Pencil Box"/>
    <x v="2"/>
    <n v="80"/>
    <n v="20"/>
    <n v="35"/>
  </r>
  <r>
    <s v="P044"/>
    <s v="Eraser"/>
    <x v="2"/>
    <n v="10"/>
    <n v="20"/>
    <n v="12"/>
  </r>
  <r>
    <s v="P045"/>
    <s v="Sharpener"/>
    <x v="2"/>
    <n v="10"/>
    <n v="25"/>
    <n v="45"/>
  </r>
  <r>
    <s v="P046"/>
    <s v="Marker Pen"/>
    <x v="2"/>
    <n v="30"/>
    <n v="20"/>
    <n v="24"/>
  </r>
  <r>
    <s v="P047"/>
    <s v="Highlighter"/>
    <x v="2"/>
    <n v="40"/>
    <n v="25"/>
    <n v="35"/>
  </r>
  <r>
    <s v="P048"/>
    <s v="Stapler"/>
    <x v="2"/>
    <n v="80"/>
    <n v="30"/>
    <n v="24"/>
  </r>
  <r>
    <s v="P049"/>
    <s v="Paper Clips"/>
    <x v="2"/>
    <n v="20"/>
    <n v="20"/>
    <n v="31"/>
  </r>
  <r>
    <s v="P050"/>
    <s v="Sketch Pens"/>
    <x v="2"/>
    <n v="40"/>
    <n v="35"/>
    <n v="62"/>
  </r>
  <r>
    <s v="P051"/>
    <s v="White Board Marker"/>
    <x v="2"/>
    <n v="60"/>
    <n v="45"/>
    <n v="21"/>
  </r>
  <r>
    <s v="P052"/>
    <s v="Sticky Notes"/>
    <x v="2"/>
    <n v="55"/>
    <n v="25"/>
    <n v="24"/>
  </r>
  <r>
    <s v="P053"/>
    <s v="A4 Paper Bundle"/>
    <x v="2"/>
    <n v="660"/>
    <n v="24"/>
    <n v="21"/>
  </r>
  <r>
    <s v="P054"/>
    <s v="Calculator"/>
    <x v="2"/>
    <n v="1050"/>
    <n v="12"/>
    <n v="36"/>
  </r>
  <r>
    <s v="P055"/>
    <s v="Geometry Box"/>
    <x v="2"/>
    <n v="250"/>
    <n v="30"/>
    <n v="24"/>
  </r>
  <r>
    <s v="P056"/>
    <s v="File Folder"/>
    <x v="2"/>
    <n v="30"/>
    <n v="24"/>
    <n v="23"/>
  </r>
  <r>
    <s v="P057"/>
    <s v="Exam Pad"/>
    <x v="2"/>
    <n v="150"/>
    <n v="30"/>
    <n v="15"/>
  </r>
  <r>
    <s v="P058"/>
    <s v="Glue Stick"/>
    <x v="2"/>
    <n v="60"/>
    <n v="20"/>
    <n v="62"/>
  </r>
  <r>
    <s v="P059"/>
    <s v="Correction Pen"/>
    <x v="2"/>
    <n v="30"/>
    <n v="50"/>
    <n v="23"/>
  </r>
  <r>
    <s v="P060"/>
    <s v="Ruler Scale"/>
    <x v="2"/>
    <n v="40"/>
    <n v="30"/>
    <n v="27"/>
  </r>
  <r>
    <s v="P061"/>
    <s v="Office Chair"/>
    <x v="3"/>
    <n v="1150"/>
    <n v="12"/>
    <n v="37"/>
  </r>
  <r>
    <s v="P062"/>
    <s v="Study Table"/>
    <x v="3"/>
    <n v="2450"/>
    <n v="18"/>
    <n v="28"/>
  </r>
  <r>
    <s v="P063"/>
    <s v="Bookshelf"/>
    <x v="3"/>
    <n v="2599"/>
    <n v="6"/>
    <n v="5"/>
  </r>
  <r>
    <s v="P064"/>
    <s v="Wooden Stool"/>
    <x v="3"/>
    <n v="3499"/>
    <n v="12"/>
    <n v="18"/>
  </r>
  <r>
    <s v="P065"/>
    <s v="Computer Desk"/>
    <x v="3"/>
    <n v="4599"/>
    <n v="15"/>
    <n v="27"/>
  </r>
  <r>
    <s v="P066"/>
    <s v="Filing Cabinet"/>
    <x v="3"/>
    <n v="12599"/>
    <n v="6"/>
    <n v="12"/>
  </r>
  <r>
    <s v="P067"/>
    <s v="Cupboard"/>
    <x v="3"/>
    <n v="9500"/>
    <n v="3"/>
    <n v="9"/>
  </r>
  <r>
    <s v="P068"/>
    <s v="Conference Table"/>
    <x v="3"/>
    <n v="9899"/>
    <n v="3"/>
    <n v="4"/>
  </r>
  <r>
    <s v="P069"/>
    <s v="Visitor Chair"/>
    <x v="3"/>
    <n v="2688"/>
    <n v="10"/>
    <n v="17"/>
  </r>
  <r>
    <s v="P070"/>
    <s v="Drawer Unit"/>
    <x v="3"/>
    <n v="3500"/>
    <n v="6"/>
    <n v="8"/>
  </r>
  <r>
    <s v="P071"/>
    <s v="Side Table"/>
    <x v="3"/>
    <n v="1200"/>
    <n v="6"/>
    <n v="5"/>
  </r>
  <r>
    <s v="P072"/>
    <s v="Sofa Set"/>
    <x v="3"/>
    <n v="12899"/>
    <n v="3"/>
    <n v="6"/>
  </r>
  <r>
    <s v="P073"/>
    <s v="Plastic Chair"/>
    <x v="3"/>
    <n v="1250"/>
    <n v="15"/>
    <n v="23"/>
  </r>
  <r>
    <s v="P074"/>
    <s v="Dining Table"/>
    <x v="3"/>
    <n v="26000"/>
    <n v="5"/>
    <n v="7"/>
  </r>
  <r>
    <s v="P075"/>
    <s v="TV Stand"/>
    <x v="3"/>
    <n v="1200"/>
    <n v="12"/>
    <n v="10"/>
  </r>
  <r>
    <s v="P076"/>
    <s v="Bed Frame"/>
    <x v="3"/>
    <n v="12600"/>
    <n v="6"/>
    <n v="8"/>
  </r>
  <r>
    <s v="P077"/>
    <s v="Mattress"/>
    <x v="3"/>
    <n v="5700"/>
    <n v="5"/>
    <n v="7"/>
  </r>
  <r>
    <s v="P078"/>
    <s v="Wardrobe"/>
    <x v="3"/>
    <n v="10500"/>
    <n v="6"/>
    <n v="13"/>
  </r>
  <r>
    <s v="P079"/>
    <s v="Coffee Table"/>
    <x v="3"/>
    <n v="2799"/>
    <n v="5"/>
    <n v="14"/>
  </r>
  <r>
    <s v="P080"/>
    <s v="Foot Rest"/>
    <x v="3"/>
    <n v="1699"/>
    <n v="5"/>
    <n v="21"/>
  </r>
  <r>
    <s v="P081"/>
    <s v="Mobile"/>
    <x v="0"/>
    <s v="25000"/>
    <s v="10"/>
    <n v="12"/>
  </r>
  <r>
    <s v="P082"/>
    <s v="Bullet Rice"/>
    <x v="1"/>
    <s v="85"/>
    <s v="100"/>
    <n v="312"/>
  </r>
  <r>
    <s v="P083"/>
    <s v="Laptop"/>
    <x v="0"/>
    <s v="55000"/>
    <s v="12"/>
    <n v="14"/>
  </r>
  <r>
    <m/>
    <m/>
    <x v="4"/>
    <m/>
    <m/>
    <m/>
  </r>
  <r>
    <m/>
    <m/>
    <x v="4"/>
    <m/>
    <m/>
    <m/>
  </r>
  <r>
    <m/>
    <m/>
    <x v="4"/>
    <m/>
    <m/>
    <m/>
  </r>
  <r>
    <m/>
    <m/>
    <x v="4"/>
    <m/>
    <m/>
    <m/>
  </r>
  <r>
    <m/>
    <m/>
    <x v="4"/>
    <m/>
    <m/>
    <m/>
  </r>
  <r>
    <m/>
    <m/>
    <x v="4"/>
    <m/>
    <m/>
    <m/>
  </r>
  <r>
    <m/>
    <m/>
    <x v="4"/>
    <m/>
    <m/>
    <m/>
  </r>
  <r>
    <m/>
    <m/>
    <x v="4"/>
    <m/>
    <m/>
    <m/>
  </r>
  <r>
    <m/>
    <m/>
    <x v="4"/>
    <m/>
    <m/>
    <m/>
  </r>
  <r>
    <m/>
    <m/>
    <x v="4"/>
    <m/>
    <m/>
    <m/>
  </r>
  <r>
    <m/>
    <m/>
    <x v="4"/>
    <m/>
    <m/>
    <m/>
  </r>
  <r>
    <m/>
    <m/>
    <x v="4"/>
    <m/>
    <m/>
    <m/>
  </r>
  <r>
    <m/>
    <m/>
    <x v="4"/>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47A8AE7-3498-4456-A840-E42E0ECB9714}" name="PivotTable6" cacheId="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A43:B65" firstHeaderRow="1" firstDataRow="1" firstDataCol="1" rowPageCount="1" colPageCount="1"/>
  <pivotFields count="7">
    <pivotField axis="axisRow" showAll="0">
      <items count="8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t="default"/>
      </items>
    </pivotField>
    <pivotField showAll="0"/>
    <pivotField axis="axisPage" showAll="0">
      <items count="6">
        <item x="0"/>
        <item x="3"/>
        <item x="1"/>
        <item x="2"/>
        <item x="4"/>
        <item t="default"/>
      </items>
    </pivotField>
    <pivotField showAll="0"/>
    <pivotField showAll="0"/>
    <pivotField showAll="0"/>
    <pivotField dataField="1" showAll="0">
      <items count="41">
        <item x="30"/>
        <item x="24"/>
        <item x="28"/>
        <item x="19"/>
        <item x="37"/>
        <item x="16"/>
        <item x="21"/>
        <item x="10"/>
        <item x="14"/>
        <item x="0"/>
        <item x="1"/>
        <item x="26"/>
        <item x="34"/>
        <item x="25"/>
        <item x="9"/>
        <item x="8"/>
        <item x="15"/>
        <item x="11"/>
        <item x="12"/>
        <item x="4"/>
        <item x="32"/>
        <item x="7"/>
        <item x="33"/>
        <item x="35"/>
        <item x="17"/>
        <item x="22"/>
        <item x="3"/>
        <item x="2"/>
        <item x="5"/>
        <item x="6"/>
        <item x="36"/>
        <item x="13"/>
        <item x="20"/>
        <item x="27"/>
        <item x="31"/>
        <item x="23"/>
        <item x="18"/>
        <item x="29"/>
        <item x="38"/>
        <item x="39"/>
        <item t="default"/>
      </items>
    </pivotField>
  </pivotFields>
  <rowFields count="1">
    <field x="0"/>
  </rowFields>
  <rowItems count="22">
    <i>
      <x/>
    </i>
    <i>
      <x v="1"/>
    </i>
    <i>
      <x v="2"/>
    </i>
    <i>
      <x v="3"/>
    </i>
    <i>
      <x v="4"/>
    </i>
    <i>
      <x v="5"/>
    </i>
    <i>
      <x v="6"/>
    </i>
    <i>
      <x v="7"/>
    </i>
    <i>
      <x v="8"/>
    </i>
    <i>
      <x v="9"/>
    </i>
    <i>
      <x v="10"/>
    </i>
    <i>
      <x v="11"/>
    </i>
    <i>
      <x v="12"/>
    </i>
    <i>
      <x v="13"/>
    </i>
    <i>
      <x v="14"/>
    </i>
    <i>
      <x v="15"/>
    </i>
    <i>
      <x v="16"/>
    </i>
    <i>
      <x v="17"/>
    </i>
    <i>
      <x v="18"/>
    </i>
    <i>
      <x v="19"/>
    </i>
    <i>
      <x v="80"/>
    </i>
    <i t="grand">
      <x/>
    </i>
  </rowItems>
  <colItems count="1">
    <i/>
  </colItems>
  <pageFields count="1">
    <pageField fld="2" item="0" hier="-1"/>
  </pageFields>
  <dataFields count="1">
    <dataField name="Min of low_stocks" fld="6" subtotal="min" baseField="0" baseItem="14"/>
  </dataFields>
  <chartFormats count="1">
    <chartFormat chart="0"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61045987-2D77-4FAA-8BAB-836BF73A635D}" name="PivotTable2" cacheId="8"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6">
  <location ref="A3:B9" firstHeaderRow="1" firstDataRow="1" firstDataCol="1"/>
  <pivotFields count="6">
    <pivotField showAll="0"/>
    <pivotField showAll="0"/>
    <pivotField axis="axisRow" dataField="1" showAll="0">
      <items count="6">
        <item x="0"/>
        <item x="3"/>
        <item x="1"/>
        <item x="2"/>
        <item x="4"/>
        <item t="default"/>
      </items>
    </pivotField>
    <pivotField showAll="0"/>
    <pivotField showAll="0"/>
    <pivotField showAll="0"/>
  </pivotFields>
  <rowFields count="1">
    <field x="2"/>
  </rowFields>
  <rowItems count="6">
    <i>
      <x/>
    </i>
    <i>
      <x v="1"/>
    </i>
    <i>
      <x v="2"/>
    </i>
    <i>
      <x v="3"/>
    </i>
    <i>
      <x v="4"/>
    </i>
    <i t="grand">
      <x/>
    </i>
  </rowItems>
  <colItems count="1">
    <i/>
  </colItems>
  <dataFields count="1">
    <dataField name="Count of Category" fld="2" subtotal="count" baseField="0" baseItem="0"/>
  </dataFields>
  <formats count="6">
    <format dxfId="17">
      <pivotArea type="all" dataOnly="0" outline="0" fieldPosition="0"/>
    </format>
    <format dxfId="16">
      <pivotArea outline="0" collapsedLevelsAreSubtotals="1" fieldPosition="0"/>
    </format>
    <format dxfId="15">
      <pivotArea field="2" type="button" dataOnly="0" labelOnly="1" outline="0" axis="axisRow" fieldPosition="0"/>
    </format>
    <format dxfId="14">
      <pivotArea dataOnly="0" labelOnly="1" fieldPosition="0">
        <references count="1">
          <reference field="2" count="0"/>
        </references>
      </pivotArea>
    </format>
    <format dxfId="13">
      <pivotArea dataOnly="0" labelOnly="1" grandRow="1" outline="0" fieldPosition="0"/>
    </format>
    <format dxfId="12">
      <pivotArea dataOnly="0" labelOnly="1" outline="0" axis="axisValues" fieldPosition="0"/>
    </format>
  </formats>
  <chartFormats count="7">
    <chartFormat chart="0" format="0" series="1">
      <pivotArea type="data" outline="0" fieldPosition="0">
        <references count="1">
          <reference field="4294967294" count="1" selected="0">
            <x v="0"/>
          </reference>
        </references>
      </pivotArea>
    </chartFormat>
    <chartFormat chart="4" format="2" series="1">
      <pivotArea type="data" outline="0" fieldPosition="0">
        <references count="1">
          <reference field="4294967294" count="1" selected="0">
            <x v="0"/>
          </reference>
        </references>
      </pivotArea>
    </chartFormat>
    <chartFormat chart="4" format="3">
      <pivotArea type="data" outline="0" fieldPosition="0">
        <references count="2">
          <reference field="4294967294" count="1" selected="0">
            <x v="0"/>
          </reference>
          <reference field="2" count="1" selected="0">
            <x v="3"/>
          </reference>
        </references>
      </pivotArea>
    </chartFormat>
    <chartFormat chart="4" format="4">
      <pivotArea type="data" outline="0" fieldPosition="0">
        <references count="2">
          <reference field="4294967294" count="1" selected="0">
            <x v="0"/>
          </reference>
          <reference field="2" count="1" selected="0">
            <x v="0"/>
          </reference>
        </references>
      </pivotArea>
    </chartFormat>
    <chartFormat chart="4" format="5">
      <pivotArea type="data" outline="0" fieldPosition="0">
        <references count="2">
          <reference field="4294967294" count="1" selected="0">
            <x v="0"/>
          </reference>
          <reference field="2" count="1" selected="0">
            <x v="2"/>
          </reference>
        </references>
      </pivotArea>
    </chartFormat>
    <chartFormat chart="4" format="6">
      <pivotArea type="data" outline="0" fieldPosition="0">
        <references count="2">
          <reference field="4294967294" count="1" selected="0">
            <x v="0"/>
          </reference>
          <reference field="2" count="1" selected="0">
            <x v="1"/>
          </reference>
        </references>
      </pivotArea>
    </chartFormat>
    <chartFormat chart="4" format="7">
      <pivotArea type="data" outline="0" fieldPosition="0">
        <references count="2">
          <reference field="4294967294" count="1" selected="0">
            <x v="0"/>
          </reference>
          <reference field="2"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DE4E2701-CD10-42DD-98DA-8571380ED787}" name="PivotTable4" cacheId="8"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4">
  <location ref="I3:I4" firstHeaderRow="1" firstDataRow="1" firstDataCol="0"/>
  <pivotFields count="6">
    <pivotField dataField="1" showAll="0"/>
    <pivotField showAll="0"/>
    <pivotField showAll="0"/>
    <pivotField showAll="0"/>
    <pivotField showAll="0"/>
    <pivotField showAll="0"/>
  </pivotFields>
  <rowItems count="1">
    <i/>
  </rowItems>
  <colItems count="1">
    <i/>
  </colItems>
  <dataFields count="1">
    <dataField name="Count of Product_ID" fld="0" subtotal="count" baseField="0" baseItem="0"/>
  </dataFields>
  <formats count="3">
    <format dxfId="20">
      <pivotArea type="all" dataOnly="0" outline="0" fieldPosition="0"/>
    </format>
    <format dxfId="19">
      <pivotArea outline="0" collapsedLevelsAreSubtotals="1" fieldPosition="0"/>
    </format>
    <format dxfId="18">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93E8A0AB-420D-4809-BA23-C8D30A59F467}" name="PivotTable8" cacheId="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0">
  <location ref="J71:K84" firstHeaderRow="1" firstDataRow="1" firstDataCol="1" rowPageCount="1" colPageCount="1"/>
  <pivotFields count="9">
    <pivotField axis="axisRow" showAll="0">
      <items count="7">
        <item x="0"/>
        <item x="1"/>
        <item x="2"/>
        <item x="3"/>
        <item x="4"/>
        <item x="5"/>
        <item t="default"/>
      </items>
    </pivotField>
    <pivotField showAll="0"/>
    <pivotField showAll="0"/>
    <pivotField axis="axisRow" showAll="0">
      <items count="4">
        <item x="0"/>
        <item x="1"/>
        <item x="2"/>
        <item t="default"/>
      </items>
    </pivotField>
    <pivotField dataField="1" showAll="0"/>
    <pivotField axis="axisPage" showAll="0">
      <items count="5">
        <item x="0"/>
        <item x="2"/>
        <item x="1"/>
        <item x="3"/>
        <item t="default"/>
      </items>
    </pivotField>
    <pivotField showAll="0">
      <items count="8">
        <item x="0"/>
        <item x="1"/>
        <item x="2"/>
        <item x="3"/>
        <item x="4"/>
        <item x="5"/>
        <item x="6"/>
        <item t="default"/>
      </items>
    </pivotField>
    <pivotField showAll="0">
      <items count="4">
        <item x="0"/>
        <item h="1" x="1"/>
        <item x="2"/>
        <item t="default"/>
      </items>
    </pivotField>
    <pivotField showAll="0">
      <items count="4">
        <item x="0"/>
        <item x="1"/>
        <item x="2"/>
        <item t="default"/>
      </items>
    </pivotField>
  </pivotFields>
  <rowFields count="2">
    <field x="3"/>
    <field x="0"/>
  </rowFields>
  <rowItems count="13">
    <i>
      <x/>
    </i>
    <i r="1">
      <x/>
    </i>
    <i r="1">
      <x v="1"/>
    </i>
    <i r="1">
      <x v="2"/>
    </i>
    <i r="1">
      <x v="4"/>
    </i>
    <i>
      <x v="1"/>
    </i>
    <i r="1">
      <x/>
    </i>
    <i r="1">
      <x v="1"/>
    </i>
    <i r="1">
      <x v="2"/>
    </i>
    <i r="1">
      <x v="3"/>
    </i>
    <i>
      <x v="2"/>
    </i>
    <i r="1">
      <x v="5"/>
    </i>
    <i t="grand">
      <x/>
    </i>
  </rowItems>
  <colItems count="1">
    <i/>
  </colItems>
  <pageFields count="1">
    <pageField fld="5" hier="-1"/>
  </pageFields>
  <dataFields count="1">
    <dataField name="Count of  Quantity" fld="4" subtotal="count" baseField="3" baseItem="0"/>
  </dataFields>
  <formats count="6">
    <format dxfId="26">
      <pivotArea type="all" dataOnly="0" outline="0" fieldPosition="0"/>
    </format>
    <format dxfId="25">
      <pivotArea outline="0" collapsedLevelsAreSubtotals="1" fieldPosition="0"/>
    </format>
    <format dxfId="24">
      <pivotArea field="3" type="button" dataOnly="0" labelOnly="1" outline="0" axis="axisRow" fieldPosition="0"/>
    </format>
    <format dxfId="23">
      <pivotArea dataOnly="0" labelOnly="1" fieldPosition="0">
        <references count="1">
          <reference field="3" count="0"/>
        </references>
      </pivotArea>
    </format>
    <format dxfId="22">
      <pivotArea dataOnly="0" labelOnly="1" grandRow="1" outline="0" fieldPosition="0"/>
    </format>
    <format dxfId="21">
      <pivotArea dataOnly="0" labelOnly="1" outline="0" axis="axisValues" fieldPosition="0"/>
    </format>
  </formats>
  <chartFormats count="6">
    <chartFormat chart="7" format="15" series="1">
      <pivotArea type="data" outline="0" fieldPosition="0">
        <references count="1">
          <reference field="4294967294" count="1" selected="0">
            <x v="0"/>
          </reference>
        </references>
      </pivotArea>
    </chartFormat>
    <chartFormat chart="7" format="17">
      <pivotArea type="data" outline="0" fieldPosition="0">
        <references count="3">
          <reference field="4294967294" count="1" selected="0">
            <x v="0"/>
          </reference>
          <reference field="0" count="1" selected="0">
            <x v="0"/>
          </reference>
          <reference field="3" count="1" selected="0">
            <x v="0"/>
          </reference>
        </references>
      </pivotArea>
    </chartFormat>
    <chartFormat chart="7" format="18">
      <pivotArea type="data" outline="0" fieldPosition="0">
        <references count="3">
          <reference field="4294967294" count="1" selected="0">
            <x v="0"/>
          </reference>
          <reference field="0" count="1" selected="0">
            <x v="0"/>
          </reference>
          <reference field="3" count="1" selected="0">
            <x v="1"/>
          </reference>
        </references>
      </pivotArea>
    </chartFormat>
    <chartFormat chart="7" format="19">
      <pivotArea type="data" outline="0" fieldPosition="0">
        <references count="3">
          <reference field="4294967294" count="1" selected="0">
            <x v="0"/>
          </reference>
          <reference field="0" count="1" selected="0">
            <x v="1"/>
          </reference>
          <reference field="3" count="1" selected="0">
            <x v="1"/>
          </reference>
        </references>
      </pivotArea>
    </chartFormat>
    <chartFormat chart="7" format="20">
      <pivotArea type="data" outline="0" fieldPosition="0">
        <references count="3">
          <reference field="4294967294" count="1" selected="0">
            <x v="0"/>
          </reference>
          <reference field="0" count="1" selected="0">
            <x v="2"/>
          </reference>
          <reference field="3" count="1" selected="0">
            <x v="1"/>
          </reference>
        </references>
      </pivotArea>
    </chartFormat>
    <chartFormat chart="7" format="21">
      <pivotArea type="data" outline="0" fieldPosition="0">
        <references count="3">
          <reference field="4294967294" count="1" selected="0">
            <x v="0"/>
          </reference>
          <reference field="0" count="1" selected="0">
            <x v="3"/>
          </reference>
          <reference field="3"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0CA7EF23-D077-40F9-A42D-6E9E10725F77}" name="PivotTable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7">
  <location ref="A27:B33" firstHeaderRow="1" firstDataRow="1" firstDataCol="1"/>
  <pivotFields count="5">
    <pivotField showAll="0"/>
    <pivotField showAll="0"/>
    <pivotField axis="axisRow" showAll="0">
      <items count="6">
        <item x="0"/>
        <item x="3"/>
        <item x="1"/>
        <item x="2"/>
        <item x="4"/>
        <item t="default"/>
      </items>
    </pivotField>
    <pivotField dataField="1" showAll="0"/>
    <pivotField showAll="0"/>
  </pivotFields>
  <rowFields count="1">
    <field x="2"/>
  </rowFields>
  <rowItems count="6">
    <i>
      <x/>
    </i>
    <i>
      <x v="1"/>
    </i>
    <i>
      <x v="2"/>
    </i>
    <i>
      <x v="3"/>
    </i>
    <i>
      <x v="4"/>
    </i>
    <i t="grand">
      <x/>
    </i>
  </rowItems>
  <colItems count="1">
    <i/>
  </colItems>
  <dataFields count="1">
    <dataField name="Count of Stock" fld="3" subtotal="count" baseField="2" baseItem="1"/>
  </dataFields>
  <formats count="6">
    <format dxfId="32">
      <pivotArea type="all" dataOnly="0" outline="0" fieldPosition="0"/>
    </format>
    <format dxfId="31">
      <pivotArea outline="0" collapsedLevelsAreSubtotals="1" fieldPosition="0"/>
    </format>
    <format dxfId="30">
      <pivotArea field="2" type="button" dataOnly="0" labelOnly="1" outline="0" axis="axisRow" fieldPosition="0"/>
    </format>
    <format dxfId="29">
      <pivotArea dataOnly="0" labelOnly="1" fieldPosition="0">
        <references count="1">
          <reference field="2" count="0"/>
        </references>
      </pivotArea>
    </format>
    <format dxfId="28">
      <pivotArea dataOnly="0" labelOnly="1" grandRow="1" outline="0" fieldPosition="0"/>
    </format>
    <format dxfId="27">
      <pivotArea dataOnly="0" labelOnly="1" outline="0" axis="axisValues" fieldPosition="0"/>
    </format>
  </formats>
  <chartFormats count="7">
    <chartFormat chart="0" format="0" series="1">
      <pivotArea type="data" outline="0" fieldPosition="0">
        <references count="1">
          <reference field="4294967294" count="1" selected="0">
            <x v="0"/>
          </reference>
        </references>
      </pivotArea>
    </chartFormat>
    <chartFormat chart="3" format="2" series="1">
      <pivotArea type="data" outline="0" fieldPosition="0">
        <references count="1">
          <reference field="4294967294" count="1" selected="0">
            <x v="0"/>
          </reference>
        </references>
      </pivotArea>
    </chartFormat>
    <chartFormat chart="3" format="3">
      <pivotArea type="data" outline="0" fieldPosition="0">
        <references count="2">
          <reference field="4294967294" count="1" selected="0">
            <x v="0"/>
          </reference>
          <reference field="2" count="1" selected="0">
            <x v="0"/>
          </reference>
        </references>
      </pivotArea>
    </chartFormat>
    <chartFormat chart="3" format="4">
      <pivotArea type="data" outline="0" fieldPosition="0">
        <references count="2">
          <reference field="4294967294" count="1" selected="0">
            <x v="0"/>
          </reference>
          <reference field="2" count="1" selected="0">
            <x v="1"/>
          </reference>
        </references>
      </pivotArea>
    </chartFormat>
    <chartFormat chart="3" format="5">
      <pivotArea type="data" outline="0" fieldPosition="0">
        <references count="2">
          <reference field="4294967294" count="1" selected="0">
            <x v="0"/>
          </reference>
          <reference field="2" count="1" selected="0">
            <x v="2"/>
          </reference>
        </references>
      </pivotArea>
    </chartFormat>
    <chartFormat chart="3" format="6">
      <pivotArea type="data" outline="0" fieldPosition="0">
        <references count="2">
          <reference field="4294967294" count="1" selected="0">
            <x v="0"/>
          </reference>
          <reference field="2" count="1" selected="0">
            <x v="3"/>
          </reference>
        </references>
      </pivotArea>
    </chartFormat>
    <chartFormat chart="3" format="7">
      <pivotArea type="data" outline="0" fieldPosition="0">
        <references count="2">
          <reference field="4294967294" count="1" selected="0">
            <x v="0"/>
          </reference>
          <reference field="2"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90329112-B5FC-4E46-9AB1-358F67F41708}" name="PivotTable3" cacheId="8"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2">
  <location ref="A16:B22" firstHeaderRow="1" firstDataRow="1" firstDataCol="1"/>
  <pivotFields count="6">
    <pivotField showAll="0"/>
    <pivotField showAll="0"/>
    <pivotField axis="axisRow" showAll="0">
      <items count="6">
        <item x="0"/>
        <item x="3"/>
        <item x="1"/>
        <item x="2"/>
        <item x="4"/>
        <item t="default"/>
      </items>
    </pivotField>
    <pivotField dataField="1" showAll="0"/>
    <pivotField showAll="0"/>
    <pivotField showAll="0"/>
  </pivotFields>
  <rowFields count="1">
    <field x="2"/>
  </rowFields>
  <rowItems count="6">
    <i>
      <x/>
    </i>
    <i>
      <x v="1"/>
    </i>
    <i>
      <x v="2"/>
    </i>
    <i>
      <x v="3"/>
    </i>
    <i>
      <x v="4"/>
    </i>
    <i t="grand">
      <x/>
    </i>
  </rowItems>
  <colItems count="1">
    <i/>
  </colItems>
  <dataFields count="1">
    <dataField name="Sum of Unit_Price" fld="3" baseField="2" baseItem="0"/>
  </dataFields>
  <formats count="6">
    <format dxfId="38">
      <pivotArea type="all" dataOnly="0" outline="0" fieldPosition="0"/>
    </format>
    <format dxfId="37">
      <pivotArea outline="0" collapsedLevelsAreSubtotals="1" fieldPosition="0"/>
    </format>
    <format dxfId="36">
      <pivotArea field="2" type="button" dataOnly="0" labelOnly="1" outline="0" axis="axisRow" fieldPosition="0"/>
    </format>
    <format dxfId="35">
      <pivotArea dataOnly="0" labelOnly="1" fieldPosition="0">
        <references count="1">
          <reference field="2" count="0"/>
        </references>
      </pivotArea>
    </format>
    <format dxfId="34">
      <pivotArea dataOnly="0" labelOnly="1" grandRow="1" outline="0" fieldPosition="0"/>
    </format>
    <format dxfId="33">
      <pivotArea dataOnly="0" labelOnly="1" outline="0" axis="axisValues" fieldPosition="0"/>
    </format>
  </formats>
  <chartFormats count="12">
    <chartFormat chart="8" format="0" series="1">
      <pivotArea type="data" outline="0" fieldPosition="0">
        <references count="1">
          <reference field="4294967294" count="1" selected="0">
            <x v="0"/>
          </reference>
        </references>
      </pivotArea>
    </chartFormat>
    <chartFormat chart="11" format="7" series="1">
      <pivotArea type="data" outline="0" fieldPosition="0">
        <references count="1">
          <reference field="4294967294" count="1" selected="0">
            <x v="0"/>
          </reference>
        </references>
      </pivotArea>
    </chartFormat>
    <chartFormat chart="11" format="8">
      <pivotArea type="data" outline="0" fieldPosition="0">
        <references count="2">
          <reference field="4294967294" count="1" selected="0">
            <x v="0"/>
          </reference>
          <reference field="2" count="1" selected="0">
            <x v="0"/>
          </reference>
        </references>
      </pivotArea>
    </chartFormat>
    <chartFormat chart="11" format="9">
      <pivotArea type="data" outline="0" fieldPosition="0">
        <references count="2">
          <reference field="4294967294" count="1" selected="0">
            <x v="0"/>
          </reference>
          <reference field="2" count="1" selected="0">
            <x v="1"/>
          </reference>
        </references>
      </pivotArea>
    </chartFormat>
    <chartFormat chart="11" format="10">
      <pivotArea type="data" outline="0" fieldPosition="0">
        <references count="2">
          <reference field="4294967294" count="1" selected="0">
            <x v="0"/>
          </reference>
          <reference field="2" count="1" selected="0">
            <x v="2"/>
          </reference>
        </references>
      </pivotArea>
    </chartFormat>
    <chartFormat chart="11" format="11">
      <pivotArea type="data" outline="0" fieldPosition="0">
        <references count="2">
          <reference field="4294967294" count="1" selected="0">
            <x v="0"/>
          </reference>
          <reference field="2" count="1" selected="0">
            <x v="3"/>
          </reference>
        </references>
      </pivotArea>
    </chartFormat>
    <chartFormat chart="11" format="12">
      <pivotArea type="data" outline="0" fieldPosition="0">
        <references count="2">
          <reference field="4294967294" count="1" selected="0">
            <x v="0"/>
          </reference>
          <reference field="2" count="1" selected="0">
            <x v="4"/>
          </reference>
        </references>
      </pivotArea>
    </chartFormat>
    <chartFormat chart="8" format="1">
      <pivotArea type="data" outline="0" fieldPosition="0">
        <references count="2">
          <reference field="4294967294" count="1" selected="0">
            <x v="0"/>
          </reference>
          <reference field="2" count="1" selected="0">
            <x v="0"/>
          </reference>
        </references>
      </pivotArea>
    </chartFormat>
    <chartFormat chart="8" format="2">
      <pivotArea type="data" outline="0" fieldPosition="0">
        <references count="2">
          <reference field="4294967294" count="1" selected="0">
            <x v="0"/>
          </reference>
          <reference field="2" count="1" selected="0">
            <x v="1"/>
          </reference>
        </references>
      </pivotArea>
    </chartFormat>
    <chartFormat chart="8" format="3">
      <pivotArea type="data" outline="0" fieldPosition="0">
        <references count="2">
          <reference field="4294967294" count="1" selected="0">
            <x v="0"/>
          </reference>
          <reference field="2" count="1" selected="0">
            <x v="2"/>
          </reference>
        </references>
      </pivotArea>
    </chartFormat>
    <chartFormat chart="8" format="4">
      <pivotArea type="data" outline="0" fieldPosition="0">
        <references count="2">
          <reference field="4294967294" count="1" selected="0">
            <x v="0"/>
          </reference>
          <reference field="2" count="1" selected="0">
            <x v="3"/>
          </reference>
        </references>
      </pivotArea>
    </chartFormat>
    <chartFormat chart="8" format="5">
      <pivotArea type="data" outline="0" fieldPosition="0">
        <references count="2">
          <reference field="4294967294" count="1" selected="0">
            <x v="0"/>
          </reference>
          <reference field="2"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B469AFCD-A09D-4415-9C2E-AB514A2F10FE}" name="PivotTable5" cacheId="8"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4">
  <location ref="I8:I9" firstHeaderRow="1" firstDataRow="1" firstDataCol="0"/>
  <pivotFields count="6">
    <pivotField showAll="0"/>
    <pivotField showAll="0"/>
    <pivotField showAll="0"/>
    <pivotField showAll="0"/>
    <pivotField showAll="0"/>
    <pivotField dataField="1" showAll="0"/>
  </pivotFields>
  <rowItems count="1">
    <i/>
  </rowItems>
  <colItems count="1">
    <i/>
  </colItems>
  <dataFields count="1">
    <dataField name="Sum of Current_Stock" fld="5" baseField="0" baseItem="0"/>
  </dataFields>
  <formats count="3">
    <format dxfId="41">
      <pivotArea type="all" dataOnly="0" outline="0" fieldPosition="0"/>
    </format>
    <format dxfId="40">
      <pivotArea outline="0" collapsedLevelsAreSubtotals="1" fieldPosition="0"/>
    </format>
    <format dxfId="39">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E1540686-19C2-4812-AD4E-A3D42F0BC332}" name="PivotTable7" cacheId="4"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6">
  <location ref="A74:B79" firstHeaderRow="1" firstDataRow="1" firstDataCol="1" rowPageCount="1" colPageCount="1"/>
  <pivotFields count="8">
    <pivotField axis="axisRow" showAll="0">
      <items count="8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2"/>
        <item x="81"/>
        <item t="default"/>
      </items>
    </pivotField>
    <pivotField showAll="0"/>
    <pivotField axis="axisPage" showAll="0">
      <items count="6">
        <item x="0"/>
        <item x="3"/>
        <item x="1"/>
        <item x="2"/>
        <item x="4"/>
        <item t="default"/>
      </items>
    </pivotField>
    <pivotField showAll="0"/>
    <pivotField showAll="0"/>
    <pivotField showAll="0"/>
    <pivotField dataField="1" showAll="0"/>
    <pivotField showAll="0">
      <items count="4">
        <item h="1" x="1"/>
        <item x="0"/>
        <item h="1" x="2"/>
        <item t="default"/>
      </items>
    </pivotField>
  </pivotFields>
  <rowFields count="1">
    <field x="0"/>
  </rowFields>
  <rowItems count="5">
    <i>
      <x v="24"/>
    </i>
    <i>
      <x v="27"/>
    </i>
    <i>
      <x v="34"/>
    </i>
    <i>
      <x v="39"/>
    </i>
    <i t="grand">
      <x/>
    </i>
  </rowItems>
  <colItems count="1">
    <i/>
  </colItems>
  <pageFields count="1">
    <pageField fld="2" item="2" hier="-1"/>
  </pageFields>
  <dataFields count="1">
    <dataField name="Max of low_stocks" fld="6" subtotal="max" baseField="0" baseItem="0"/>
  </dataFields>
  <chartFormats count="1">
    <chartFormat chart="5"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low_stock_or_not" xr10:uid="{2CC41B22-978A-4D2D-99DF-52264BB66974}" sourceName="low_stock or not">
  <pivotTables>
    <pivotTable tabId="13" name="PivotTable7"/>
  </pivotTables>
  <data>
    <tabular pivotCacheId="652104834">
      <items count="3">
        <i x="1"/>
        <i x="0" s="1"/>
        <i x="2"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 xr10:uid="{1C5F97B6-D456-4FC9-9570-29A2335F151A}" sourceName="Category">
  <pivotTables>
    <pivotTable tabId="13" name="PivotTable7"/>
  </pivotTables>
  <data>
    <tabular pivotCacheId="652104834">
      <items count="5">
        <i x="0"/>
        <i x="3"/>
        <i x="1" s="1"/>
        <i x="2"/>
        <i x="4"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ay" xr10:uid="{83EC1296-BF84-4433-AEDD-A3761926593C}" sourceName="Day">
  <pivotTables>
    <pivotTable tabId="13" name="PivotTable8"/>
  </pivotTables>
  <data>
    <tabular pivotCacheId="73282528">
      <items count="7">
        <i x="0" s="1"/>
        <i x="1" s="1"/>
        <i x="2" s="1"/>
        <i x="3" s="1"/>
        <i x="4" s="1"/>
        <i x="5" s="1" nd="1"/>
        <i x="6" s="1" nd="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 xr10:uid="{3821708E-87ED-40CF-B137-9BAAF35B383F}" sourceName="Month">
  <pivotTables>
    <pivotTable tabId="13" name="PivotTable8"/>
  </pivotTables>
  <data>
    <tabular pivotCacheId="73282528">
      <items count="3">
        <i x="0" s="1"/>
        <i x="1" nd="1"/>
        <i x="2" s="1" nd="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 xr10:uid="{36599BF0-AF58-4992-9AEB-98653F3EB4BD}" sourceName="Year">
  <pivotTables>
    <pivotTable tabId="13" name="PivotTable8"/>
  </pivotTables>
  <data>
    <tabular pivotCacheId="73282528">
      <items count="3">
        <i x="0" s="1"/>
        <i x="1" s="1" nd="1"/>
        <i x="2" s="1" nd="1"/>
      </items>
    </tabular>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1" xr10:uid="{6EB697F3-97DE-4F21-BC73-410B2534F787}" sourceName="Category">
  <pivotTables>
    <pivotTable tabId="13" name="PivotTable8"/>
  </pivotTables>
  <data>
    <tabular pivotCacheId="73282528">
      <items count="4">
        <i x="0" s="1"/>
        <i x="2" s="1"/>
        <i x="1" s="1"/>
        <i x="3" s="1" nd="1"/>
      </items>
    </tabular>
  </data>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ransaction_Type" xr10:uid="{E5863920-5CA8-492F-BAD7-5837539AE32B}" sourceName="Transaction_Type">
  <pivotTables>
    <pivotTable tabId="13" name="PivotTable8"/>
  </pivotTables>
  <data>
    <tabular pivotCacheId="73282528">
      <items count="3">
        <i x="0" s="1"/>
        <i x="1" s="1"/>
        <i x="2"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low_stock or not 1" xr10:uid="{8C28E6DF-0353-412D-8FBF-15D516FB9340}" cache="Slicer_low_stock_or_not" caption="low_stock or not" style="SlicerStyleDark4" rowHeight="234950"/>
  <slicer name="Category 1" xr10:uid="{A263333F-0151-4FE2-B71F-B990850F086C}" cache="Slicer_Category" caption="Category" style="SlicerStyleDark4" rowHeight="234950"/>
  <slicer name="Day 1" xr10:uid="{E438A655-8BE7-4435-B9EF-C6AEFFB79803}" cache="Slicer_Day" caption="Day" style="SlicerStyleDark2" rowHeight="234950"/>
  <slicer name="Category 2" xr10:uid="{267DDE9E-6311-4A94-BA52-B20AAF91CEAD}" cache="Slicer_Category1" caption="Category" style="SlicerStyleDark2" rowHeight="234950"/>
  <slicer name="Transaction_Type" xr10:uid="{922B3ECE-28B0-4DAF-B062-A2CF4755A0D7}" cache="Slicer_Transaction_Type" caption="Transaction_Type" style="SlicerStyleDark2"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low_stock or not" xr10:uid="{AEAE29BE-2AAF-49D9-BAEB-D491C5A6956E}" cache="Slicer_low_stock_or_not" caption="low_stock or not" rowHeight="234950"/>
  <slicer name="Category" xr10:uid="{A1591205-35BF-413A-9245-558FD77BA552}" cache="Slicer_Category" caption="Category" style="Slicer Style 2" rowHeight="234950"/>
  <slicer name="Day" xr10:uid="{EAD9C230-5337-4779-9430-06122FDCF7FA}" cache="Slicer_Day" caption="Day" rowHeight="234950"/>
  <slicer name="Month" xr10:uid="{E63A9B19-5E66-4916-AB86-6365901B5238}" cache="Slicer_Month" caption="Month" rowHeight="234950"/>
  <slicer name="Year" xr10:uid="{2C81C492-80F1-49D5-ACD3-976F7A3A25CD}" cache="Slicer_Year" caption="Year" rowHeight="23495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image" Target="../media/image3.emf"/><Relationship Id="rId3" Type="http://schemas.openxmlformats.org/officeDocument/2006/relationships/control" Target="../activeX/activeX1.xml"/><Relationship Id="rId7" Type="http://schemas.openxmlformats.org/officeDocument/2006/relationships/control" Target="../activeX/activeX3.xml"/><Relationship Id="rId12" Type="http://schemas.openxmlformats.org/officeDocument/2006/relationships/image" Target="../media/image5.emf"/><Relationship Id="rId2" Type="http://schemas.openxmlformats.org/officeDocument/2006/relationships/vmlDrawing" Target="../drawings/vmlDrawing1.vml"/><Relationship Id="rId1" Type="http://schemas.openxmlformats.org/officeDocument/2006/relationships/drawing" Target="../drawings/drawing1.xml"/><Relationship Id="rId6" Type="http://schemas.openxmlformats.org/officeDocument/2006/relationships/image" Target="../media/image2.emf"/><Relationship Id="rId11" Type="http://schemas.openxmlformats.org/officeDocument/2006/relationships/control" Target="../activeX/activeX5.xml"/><Relationship Id="rId5" Type="http://schemas.openxmlformats.org/officeDocument/2006/relationships/control" Target="../activeX/activeX2.xml"/><Relationship Id="rId10" Type="http://schemas.openxmlformats.org/officeDocument/2006/relationships/image" Target="../media/image4.emf"/><Relationship Id="rId4" Type="http://schemas.openxmlformats.org/officeDocument/2006/relationships/image" Target="../media/image1.emf"/><Relationship Id="rId9" Type="http://schemas.openxmlformats.org/officeDocument/2006/relationships/control" Target="../activeX/activeX4.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3.xml"/><Relationship Id="rId1" Type="http://schemas.openxmlformats.org/officeDocument/2006/relationships/printerSettings" Target="../printerSettings/printerSettings1.bin"/></Relationships>
</file>

<file path=xl/worksheets/_rels/sheet8.xml.rels><?xml version="1.0" encoding="UTF-8" standalone="yes"?>
<Relationships xmlns="http://schemas.openxmlformats.org/package/2006/relationships"><Relationship Id="rId8" Type="http://schemas.openxmlformats.org/officeDocument/2006/relationships/pivotTable" Target="../pivotTables/pivotTable8.xml"/><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10" Type="http://schemas.microsoft.com/office/2007/relationships/slicer" Target="../slicers/slicer2.xml"/><Relationship Id="rId4" Type="http://schemas.openxmlformats.org/officeDocument/2006/relationships/pivotTable" Target="../pivotTables/pivotTable4.xml"/><Relationship Id="rId9"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DED658-7C23-42CE-98F3-2AD4DD7C9F06}">
  <sheetPr codeName="Sheet1"/>
  <dimension ref="A1:R143"/>
  <sheetViews>
    <sheetView workbookViewId="0">
      <selection activeCell="J17" sqref="J17"/>
    </sheetView>
  </sheetViews>
  <sheetFormatPr defaultRowHeight="14.4" x14ac:dyDescent="0.3"/>
  <cols>
    <col min="1" max="1" width="17.21875" customWidth="1"/>
    <col min="2" max="2" width="20.33203125" customWidth="1"/>
    <col min="3" max="3" width="13.5546875" customWidth="1"/>
    <col min="4" max="4" width="12.77734375" customWidth="1"/>
    <col min="5" max="5" width="17.77734375" customWidth="1"/>
    <col min="6" max="6" width="14.21875" bestFit="1" customWidth="1"/>
    <col min="7" max="7" width="13.5546875" style="1" customWidth="1"/>
    <col min="8" max="8" width="17.77734375" style="1" bestFit="1" customWidth="1"/>
    <col min="9" max="9" width="9.88671875" style="1" bestFit="1" customWidth="1"/>
    <col min="10" max="10" width="14.33203125" style="1" customWidth="1"/>
    <col min="11" max="11" width="18.44140625" style="1" customWidth="1"/>
    <col min="12" max="12" width="14.109375" style="1" customWidth="1"/>
    <col min="13" max="13" width="15.88671875" style="1" customWidth="1"/>
    <col min="14" max="14" width="16.33203125" style="1" customWidth="1"/>
    <col min="15" max="15" width="13" style="1" customWidth="1"/>
    <col min="16" max="16" width="12.5546875" style="1" customWidth="1"/>
    <col min="17" max="17" width="13.33203125" style="1" customWidth="1"/>
    <col min="18" max="18" width="13.5546875" style="1" customWidth="1"/>
  </cols>
  <sheetData>
    <row r="1" spans="1:18" s="5" customFormat="1" ht="15.6" x14ac:dyDescent="0.3">
      <c r="A1" s="16" t="s">
        <v>0</v>
      </c>
      <c r="B1" s="16" t="s">
        <v>1</v>
      </c>
      <c r="C1" s="16" t="s">
        <v>2</v>
      </c>
      <c r="D1" s="16" t="s">
        <v>3</v>
      </c>
      <c r="E1" s="16" t="s">
        <v>4</v>
      </c>
      <c r="F1" s="16" t="s">
        <v>5</v>
      </c>
      <c r="G1" s="16" t="s">
        <v>209</v>
      </c>
      <c r="H1" s="16" t="s">
        <v>212</v>
      </c>
      <c r="I1" s="18"/>
      <c r="J1" s="18"/>
      <c r="K1" s="18"/>
      <c r="L1" s="18"/>
      <c r="M1" s="17"/>
      <c r="N1" s="17"/>
      <c r="O1" s="17"/>
      <c r="P1" s="17"/>
      <c r="Q1" s="17"/>
      <c r="R1" s="17"/>
    </row>
    <row r="2" spans="1:18" x14ac:dyDescent="0.3">
      <c r="A2" s="6" t="s">
        <v>9</v>
      </c>
      <c r="B2" s="6" t="s">
        <v>27</v>
      </c>
      <c r="C2" s="6" t="s">
        <v>11</v>
      </c>
      <c r="D2" s="6">
        <v>550</v>
      </c>
      <c r="E2" s="6">
        <v>20</v>
      </c>
      <c r="F2" s="6">
        <v>20</v>
      </c>
      <c r="G2" s="1">
        <v>0</v>
      </c>
      <c r="H2" s="1" t="s">
        <v>226</v>
      </c>
    </row>
    <row r="3" spans="1:18" x14ac:dyDescent="0.3">
      <c r="A3" s="6" t="s">
        <v>14</v>
      </c>
      <c r="B3" s="6" t="s">
        <v>28</v>
      </c>
      <c r="C3" s="6" t="s">
        <v>11</v>
      </c>
      <c r="D3" s="6">
        <v>1434</v>
      </c>
      <c r="E3" s="6">
        <v>15</v>
      </c>
      <c r="F3" s="6">
        <v>12</v>
      </c>
      <c r="G3" s="1">
        <v>-3</v>
      </c>
      <c r="H3" s="1" t="s">
        <v>226</v>
      </c>
    </row>
    <row r="4" spans="1:18" x14ac:dyDescent="0.3">
      <c r="A4" s="6" t="s">
        <v>25</v>
      </c>
      <c r="B4" s="6" t="s">
        <v>29</v>
      </c>
      <c r="C4" s="6" t="s">
        <v>11</v>
      </c>
      <c r="D4" s="6">
        <v>950</v>
      </c>
      <c r="E4" s="6">
        <v>11</v>
      </c>
      <c r="F4" s="6">
        <v>9</v>
      </c>
      <c r="G4" s="1">
        <v>-2</v>
      </c>
      <c r="H4" s="1" t="s">
        <v>226</v>
      </c>
    </row>
    <row r="5" spans="1:18" x14ac:dyDescent="0.3">
      <c r="A5" s="6" t="s">
        <v>30</v>
      </c>
      <c r="B5" s="6" t="s">
        <v>31</v>
      </c>
      <c r="C5" s="6" t="s">
        <v>11</v>
      </c>
      <c r="D5" s="6">
        <v>3516</v>
      </c>
      <c r="E5" s="6">
        <v>12</v>
      </c>
      <c r="F5" s="6">
        <v>24</v>
      </c>
      <c r="G5" s="1">
        <v>12</v>
      </c>
      <c r="H5" s="1" t="s">
        <v>227</v>
      </c>
    </row>
    <row r="6" spans="1:18" x14ac:dyDescent="0.3">
      <c r="A6" s="6" t="s">
        <v>32</v>
      </c>
      <c r="B6" s="6" t="s">
        <v>33</v>
      </c>
      <c r="C6" s="6" t="s">
        <v>11</v>
      </c>
      <c r="D6" s="6">
        <v>1100</v>
      </c>
      <c r="E6" s="6">
        <v>10</v>
      </c>
      <c r="F6" s="6">
        <v>15</v>
      </c>
      <c r="G6" s="1">
        <v>5</v>
      </c>
      <c r="H6" s="1" t="s">
        <v>227</v>
      </c>
    </row>
    <row r="7" spans="1:18" x14ac:dyDescent="0.3">
      <c r="A7" s="6" t="s">
        <v>34</v>
      </c>
      <c r="B7" s="6" t="s">
        <v>35</v>
      </c>
      <c r="C7" s="6" t="s">
        <v>11</v>
      </c>
      <c r="D7" s="6">
        <v>3500</v>
      </c>
      <c r="E7" s="6">
        <v>10</v>
      </c>
      <c r="F7" s="6">
        <v>24</v>
      </c>
      <c r="G7" s="1">
        <v>14</v>
      </c>
      <c r="H7" s="1" t="s">
        <v>227</v>
      </c>
    </row>
    <row r="8" spans="1:18" x14ac:dyDescent="0.3">
      <c r="A8" s="6" t="s">
        <v>36</v>
      </c>
      <c r="B8" s="6" t="s">
        <v>37</v>
      </c>
      <c r="C8" s="6" t="s">
        <v>11</v>
      </c>
      <c r="D8" s="6">
        <v>1800</v>
      </c>
      <c r="E8" s="6">
        <v>8</v>
      </c>
      <c r="F8" s="6">
        <v>21</v>
      </c>
      <c r="G8" s="1">
        <v>13</v>
      </c>
      <c r="H8" s="1" t="s">
        <v>227</v>
      </c>
    </row>
    <row r="9" spans="1:18" x14ac:dyDescent="0.3">
      <c r="A9" s="6" t="s">
        <v>38</v>
      </c>
      <c r="B9" s="6" t="s">
        <v>39</v>
      </c>
      <c r="C9" s="6" t="s">
        <v>11</v>
      </c>
      <c r="D9" s="6">
        <v>250</v>
      </c>
      <c r="E9" s="6">
        <v>10</v>
      </c>
      <c r="F9" s="6">
        <v>25</v>
      </c>
      <c r="G9" s="1">
        <v>15</v>
      </c>
      <c r="H9" s="1" t="s">
        <v>227</v>
      </c>
    </row>
    <row r="10" spans="1:18" x14ac:dyDescent="0.3">
      <c r="A10" s="6" t="s">
        <v>40</v>
      </c>
      <c r="B10" s="6" t="s">
        <v>41</v>
      </c>
      <c r="C10" s="6" t="s">
        <v>11</v>
      </c>
      <c r="D10" s="6">
        <v>3500</v>
      </c>
      <c r="E10" s="6">
        <v>15</v>
      </c>
      <c r="F10" s="6">
        <v>20</v>
      </c>
      <c r="G10" s="1">
        <v>5</v>
      </c>
      <c r="H10" s="1" t="s">
        <v>227</v>
      </c>
    </row>
    <row r="11" spans="1:18" x14ac:dyDescent="0.3">
      <c r="A11" s="6" t="s">
        <v>42</v>
      </c>
      <c r="B11" s="6" t="s">
        <v>43</v>
      </c>
      <c r="C11" s="6" t="s">
        <v>11</v>
      </c>
      <c r="D11" s="6">
        <v>3750</v>
      </c>
      <c r="E11" s="6">
        <v>5</v>
      </c>
      <c r="F11" s="6">
        <v>12</v>
      </c>
      <c r="G11" s="1">
        <v>7</v>
      </c>
      <c r="H11" s="1" t="s">
        <v>227</v>
      </c>
    </row>
    <row r="12" spans="1:18" x14ac:dyDescent="0.3">
      <c r="A12" s="6" t="s">
        <v>44</v>
      </c>
      <c r="B12" s="6" t="s">
        <v>45</v>
      </c>
      <c r="C12" s="6" t="s">
        <v>11</v>
      </c>
      <c r="D12" s="6">
        <v>5600</v>
      </c>
      <c r="E12" s="6">
        <v>5</v>
      </c>
      <c r="F12" s="6">
        <v>6</v>
      </c>
      <c r="G12" s="1">
        <v>1</v>
      </c>
      <c r="H12" s="1" t="s">
        <v>227</v>
      </c>
    </row>
    <row r="13" spans="1:18" x14ac:dyDescent="0.3">
      <c r="A13" s="6" t="s">
        <v>46</v>
      </c>
      <c r="B13" s="6" t="s">
        <v>47</v>
      </c>
      <c r="C13" s="6" t="s">
        <v>11</v>
      </c>
      <c r="D13" s="6">
        <v>4500</v>
      </c>
      <c r="E13" s="6">
        <v>12</v>
      </c>
      <c r="F13" s="6">
        <v>12</v>
      </c>
      <c r="G13" s="1">
        <v>0</v>
      </c>
      <c r="H13" s="1" t="s">
        <v>226</v>
      </c>
    </row>
    <row r="14" spans="1:18" x14ac:dyDescent="0.3">
      <c r="A14" s="6" t="s">
        <v>48</v>
      </c>
      <c r="B14" s="6" t="s">
        <v>49</v>
      </c>
      <c r="C14" s="6" t="s">
        <v>11</v>
      </c>
      <c r="D14" s="6">
        <v>1200</v>
      </c>
      <c r="E14" s="6">
        <v>10</v>
      </c>
      <c r="F14" s="6">
        <v>3</v>
      </c>
      <c r="G14" s="1">
        <v>-7</v>
      </c>
      <c r="H14" s="1" t="s">
        <v>226</v>
      </c>
    </row>
    <row r="15" spans="1:18" x14ac:dyDescent="0.3">
      <c r="A15" s="6" t="s">
        <v>50</v>
      </c>
      <c r="B15" s="6" t="s">
        <v>51</v>
      </c>
      <c r="C15" s="6" t="s">
        <v>11</v>
      </c>
      <c r="D15" s="6">
        <v>600</v>
      </c>
      <c r="E15" s="6">
        <v>12</v>
      </c>
      <c r="F15" s="6">
        <v>15</v>
      </c>
      <c r="G15" s="1">
        <v>3</v>
      </c>
      <c r="H15" s="1" t="s">
        <v>227</v>
      </c>
    </row>
    <row r="16" spans="1:18" x14ac:dyDescent="0.3">
      <c r="A16" s="6" t="s">
        <v>52</v>
      </c>
      <c r="B16" s="6" t="s">
        <v>53</v>
      </c>
      <c r="C16" s="6" t="s">
        <v>11</v>
      </c>
      <c r="D16" s="6">
        <v>450</v>
      </c>
      <c r="E16" s="6">
        <v>10</v>
      </c>
      <c r="F16" s="6">
        <v>10</v>
      </c>
      <c r="G16" s="1">
        <v>0</v>
      </c>
      <c r="H16" s="1" t="s">
        <v>226</v>
      </c>
    </row>
    <row r="17" spans="1:8" x14ac:dyDescent="0.3">
      <c r="A17" s="6" t="s">
        <v>54</v>
      </c>
      <c r="B17" s="6" t="s">
        <v>55</v>
      </c>
      <c r="C17" s="6" t="s">
        <v>11</v>
      </c>
      <c r="D17" s="6">
        <v>8600</v>
      </c>
      <c r="E17" s="6">
        <v>5</v>
      </c>
      <c r="F17" s="6">
        <v>8</v>
      </c>
      <c r="G17" s="1">
        <v>3</v>
      </c>
      <c r="H17" s="1" t="s">
        <v>227</v>
      </c>
    </row>
    <row r="18" spans="1:8" x14ac:dyDescent="0.3">
      <c r="A18" s="6" t="s">
        <v>56</v>
      </c>
      <c r="B18" s="6" t="s">
        <v>57</v>
      </c>
      <c r="C18" s="6" t="s">
        <v>11</v>
      </c>
      <c r="D18" s="6">
        <v>5500</v>
      </c>
      <c r="E18" s="6">
        <v>10</v>
      </c>
      <c r="F18" s="6">
        <v>6</v>
      </c>
      <c r="G18" s="1">
        <v>-4</v>
      </c>
      <c r="H18" s="1" t="s">
        <v>226</v>
      </c>
    </row>
    <row r="19" spans="1:8" x14ac:dyDescent="0.3">
      <c r="A19" s="6" t="s">
        <v>58</v>
      </c>
      <c r="B19" s="6" t="s">
        <v>59</v>
      </c>
      <c r="C19" s="6" t="s">
        <v>11</v>
      </c>
      <c r="D19" s="6">
        <v>4500</v>
      </c>
      <c r="E19" s="6">
        <v>10</v>
      </c>
      <c r="F19" s="6">
        <v>15</v>
      </c>
      <c r="G19" s="1">
        <v>5</v>
      </c>
      <c r="H19" s="1" t="s">
        <v>227</v>
      </c>
    </row>
    <row r="20" spans="1:8" x14ac:dyDescent="0.3">
      <c r="A20" s="6" t="s">
        <v>60</v>
      </c>
      <c r="B20" s="6" t="s">
        <v>61</v>
      </c>
      <c r="C20" s="6" t="s">
        <v>11</v>
      </c>
      <c r="D20" s="6">
        <v>1600</v>
      </c>
      <c r="E20" s="6">
        <v>6</v>
      </c>
      <c r="F20" s="6">
        <v>13</v>
      </c>
      <c r="G20" s="1">
        <v>7</v>
      </c>
      <c r="H20" s="1" t="s">
        <v>227</v>
      </c>
    </row>
    <row r="21" spans="1:8" x14ac:dyDescent="0.3">
      <c r="A21" s="6" t="s">
        <v>62</v>
      </c>
      <c r="B21" s="6" t="s">
        <v>63</v>
      </c>
      <c r="C21" s="6" t="s">
        <v>11</v>
      </c>
      <c r="D21" s="6">
        <v>2100</v>
      </c>
      <c r="E21" s="6">
        <v>8</v>
      </c>
      <c r="F21" s="6">
        <v>12</v>
      </c>
      <c r="G21" s="1">
        <v>4</v>
      </c>
      <c r="H21" s="1" t="s">
        <v>227</v>
      </c>
    </row>
    <row r="22" spans="1:8" x14ac:dyDescent="0.3">
      <c r="A22" s="6" t="s">
        <v>64</v>
      </c>
      <c r="B22" s="6" t="s">
        <v>65</v>
      </c>
      <c r="C22" s="6" t="s">
        <v>66</v>
      </c>
      <c r="D22" s="6">
        <v>2150</v>
      </c>
      <c r="E22" s="6">
        <v>6</v>
      </c>
      <c r="F22" s="6">
        <v>24</v>
      </c>
      <c r="G22" s="1">
        <v>18</v>
      </c>
      <c r="H22" s="1" t="s">
        <v>227</v>
      </c>
    </row>
    <row r="23" spans="1:8" x14ac:dyDescent="0.3">
      <c r="A23" s="6" t="s">
        <v>67</v>
      </c>
      <c r="B23" s="6" t="s">
        <v>68</v>
      </c>
      <c r="C23" s="6" t="s">
        <v>66</v>
      </c>
      <c r="D23" s="6">
        <v>80</v>
      </c>
      <c r="E23" s="6">
        <v>12</v>
      </c>
      <c r="F23" s="6">
        <v>15</v>
      </c>
      <c r="G23" s="1">
        <v>3</v>
      </c>
      <c r="H23" s="1" t="s">
        <v>227</v>
      </c>
    </row>
    <row r="24" spans="1:8" x14ac:dyDescent="0.3">
      <c r="A24" s="6" t="s">
        <v>69</v>
      </c>
      <c r="B24" s="6" t="s">
        <v>70</v>
      </c>
      <c r="C24" s="6" t="s">
        <v>66</v>
      </c>
      <c r="D24" s="6">
        <v>180</v>
      </c>
      <c r="E24" s="6">
        <v>18</v>
      </c>
      <c r="F24" s="6">
        <v>12</v>
      </c>
      <c r="G24" s="1">
        <v>-6</v>
      </c>
      <c r="H24" s="1" t="s">
        <v>226</v>
      </c>
    </row>
    <row r="25" spans="1:8" x14ac:dyDescent="0.3">
      <c r="A25" s="6" t="s">
        <v>71</v>
      </c>
      <c r="B25" s="6" t="s">
        <v>72</v>
      </c>
      <c r="C25" s="6" t="s">
        <v>66</v>
      </c>
      <c r="D25" s="6">
        <v>60</v>
      </c>
      <c r="E25" s="6">
        <v>25</v>
      </c>
      <c r="F25" s="6">
        <v>20</v>
      </c>
      <c r="G25" s="1">
        <v>-5</v>
      </c>
      <c r="H25" s="1" t="s">
        <v>226</v>
      </c>
    </row>
    <row r="26" spans="1:8" x14ac:dyDescent="0.3">
      <c r="A26" s="6" t="s">
        <v>73</v>
      </c>
      <c r="B26" s="6" t="s">
        <v>74</v>
      </c>
      <c r="C26" s="6" t="s">
        <v>66</v>
      </c>
      <c r="D26" s="6">
        <v>850</v>
      </c>
      <c r="E26" s="6">
        <v>30</v>
      </c>
      <c r="F26" s="6">
        <v>25</v>
      </c>
      <c r="G26" s="1">
        <v>-5</v>
      </c>
      <c r="H26" s="1" t="s">
        <v>226</v>
      </c>
    </row>
    <row r="27" spans="1:8" x14ac:dyDescent="0.3">
      <c r="A27" s="6" t="s">
        <v>75</v>
      </c>
      <c r="B27" s="6" t="s">
        <v>76</v>
      </c>
      <c r="C27" s="6" t="s">
        <v>66</v>
      </c>
      <c r="D27" s="6">
        <v>690</v>
      </c>
      <c r="E27" s="6">
        <v>10</v>
      </c>
      <c r="F27" s="6">
        <v>12</v>
      </c>
      <c r="G27" s="1">
        <v>2</v>
      </c>
      <c r="H27" s="1" t="s">
        <v>227</v>
      </c>
    </row>
    <row r="28" spans="1:8" x14ac:dyDescent="0.3">
      <c r="A28" s="6" t="s">
        <v>77</v>
      </c>
      <c r="B28" s="6" t="s">
        <v>78</v>
      </c>
      <c r="C28" s="6" t="s">
        <v>66</v>
      </c>
      <c r="D28" s="6">
        <v>840</v>
      </c>
      <c r="E28" s="6">
        <v>8</v>
      </c>
      <c r="F28" s="6">
        <v>12</v>
      </c>
      <c r="G28" s="1">
        <v>4</v>
      </c>
      <c r="H28" s="1" t="s">
        <v>227</v>
      </c>
    </row>
    <row r="29" spans="1:8" x14ac:dyDescent="0.3">
      <c r="A29" s="6" t="s">
        <v>79</v>
      </c>
      <c r="B29" s="6" t="s">
        <v>80</v>
      </c>
      <c r="C29" s="6" t="s">
        <v>66</v>
      </c>
      <c r="D29" s="6">
        <v>56</v>
      </c>
      <c r="E29" s="6">
        <v>25</v>
      </c>
      <c r="F29" s="6">
        <v>16</v>
      </c>
      <c r="G29" s="1">
        <v>-9</v>
      </c>
      <c r="H29" s="1" t="s">
        <v>226</v>
      </c>
    </row>
    <row r="30" spans="1:8" x14ac:dyDescent="0.3">
      <c r="A30" s="6" t="s">
        <v>81</v>
      </c>
      <c r="B30" s="6" t="s">
        <v>82</v>
      </c>
      <c r="C30" s="6" t="s">
        <v>66</v>
      </c>
      <c r="D30" s="6">
        <v>350</v>
      </c>
      <c r="E30" s="6">
        <v>16</v>
      </c>
      <c r="F30" s="6">
        <v>20</v>
      </c>
      <c r="G30" s="1">
        <v>4</v>
      </c>
      <c r="H30" s="1" t="s">
        <v>227</v>
      </c>
    </row>
    <row r="31" spans="1:8" x14ac:dyDescent="0.3">
      <c r="A31" s="6" t="s">
        <v>83</v>
      </c>
      <c r="B31" s="6" t="s">
        <v>84</v>
      </c>
      <c r="C31" s="6" t="s">
        <v>66</v>
      </c>
      <c r="D31" s="6">
        <v>420</v>
      </c>
      <c r="E31" s="6">
        <v>15</v>
      </c>
      <c r="F31" s="6">
        <v>25</v>
      </c>
      <c r="G31" s="1">
        <v>10</v>
      </c>
      <c r="H31" s="1" t="s">
        <v>227</v>
      </c>
    </row>
    <row r="32" spans="1:8" x14ac:dyDescent="0.3">
      <c r="A32" s="6" t="s">
        <v>85</v>
      </c>
      <c r="B32" s="6" t="s">
        <v>86</v>
      </c>
      <c r="C32" s="6" t="s">
        <v>66</v>
      </c>
      <c r="D32" s="6">
        <v>25</v>
      </c>
      <c r="E32" s="6">
        <v>30</v>
      </c>
      <c r="F32" s="6">
        <v>65</v>
      </c>
      <c r="G32" s="1">
        <v>35</v>
      </c>
      <c r="H32" s="1" t="s">
        <v>227</v>
      </c>
    </row>
    <row r="33" spans="1:8" x14ac:dyDescent="0.3">
      <c r="A33" s="6" t="s">
        <v>87</v>
      </c>
      <c r="B33" s="6" t="s">
        <v>88</v>
      </c>
      <c r="C33" s="6" t="s">
        <v>66</v>
      </c>
      <c r="D33" s="6">
        <v>120</v>
      </c>
      <c r="E33" s="6">
        <v>10</v>
      </c>
      <c r="F33" s="6">
        <v>12</v>
      </c>
      <c r="G33" s="1">
        <v>2</v>
      </c>
      <c r="H33" s="1" t="s">
        <v>227</v>
      </c>
    </row>
    <row r="34" spans="1:8" x14ac:dyDescent="0.3">
      <c r="A34" s="6" t="s">
        <v>89</v>
      </c>
      <c r="B34" s="6" t="s">
        <v>90</v>
      </c>
      <c r="C34" s="6" t="s">
        <v>66</v>
      </c>
      <c r="D34" s="6">
        <v>160</v>
      </c>
      <c r="E34" s="6">
        <v>12</v>
      </c>
      <c r="F34" s="6">
        <v>24</v>
      </c>
      <c r="G34" s="1">
        <v>12</v>
      </c>
      <c r="H34" s="1" t="s">
        <v>227</v>
      </c>
    </row>
    <row r="35" spans="1:8" x14ac:dyDescent="0.3">
      <c r="A35" s="6" t="s">
        <v>91</v>
      </c>
      <c r="B35" s="6" t="s">
        <v>92</v>
      </c>
      <c r="C35" s="6" t="s">
        <v>66</v>
      </c>
      <c r="D35" s="6">
        <v>60</v>
      </c>
      <c r="E35" s="6">
        <v>20</v>
      </c>
      <c r="F35" s="6">
        <v>30</v>
      </c>
      <c r="G35" s="1">
        <v>10</v>
      </c>
      <c r="H35" s="1" t="s">
        <v>227</v>
      </c>
    </row>
    <row r="36" spans="1:8" x14ac:dyDescent="0.3">
      <c r="A36" s="6" t="s">
        <v>93</v>
      </c>
      <c r="B36" s="6" t="s">
        <v>94</v>
      </c>
      <c r="C36" s="6" t="s">
        <v>66</v>
      </c>
      <c r="D36" s="6">
        <v>85</v>
      </c>
      <c r="E36" s="6">
        <v>25</v>
      </c>
      <c r="F36" s="6">
        <v>20</v>
      </c>
      <c r="G36" s="1">
        <v>-5</v>
      </c>
      <c r="H36" s="1" t="s">
        <v>226</v>
      </c>
    </row>
    <row r="37" spans="1:8" x14ac:dyDescent="0.3">
      <c r="A37" s="6" t="s">
        <v>95</v>
      </c>
      <c r="B37" s="6" t="s">
        <v>96</v>
      </c>
      <c r="C37" s="6" t="s">
        <v>66</v>
      </c>
      <c r="D37" s="6">
        <v>10</v>
      </c>
      <c r="E37" s="6">
        <v>35</v>
      </c>
      <c r="F37" s="6">
        <v>45</v>
      </c>
      <c r="G37" s="1">
        <v>10</v>
      </c>
      <c r="H37" s="1" t="s">
        <v>227</v>
      </c>
    </row>
    <row r="38" spans="1:8" x14ac:dyDescent="0.3">
      <c r="A38" s="6" t="s">
        <v>97</v>
      </c>
      <c r="B38" s="6" t="s">
        <v>98</v>
      </c>
      <c r="C38" s="6" t="s">
        <v>66</v>
      </c>
      <c r="D38" s="6">
        <v>20</v>
      </c>
      <c r="E38" s="6">
        <v>15</v>
      </c>
      <c r="F38" s="6">
        <v>25</v>
      </c>
      <c r="G38" s="1">
        <v>10</v>
      </c>
      <c r="H38" s="1" t="s">
        <v>227</v>
      </c>
    </row>
    <row r="39" spans="1:8" x14ac:dyDescent="0.3">
      <c r="A39" s="6" t="s">
        <v>99</v>
      </c>
      <c r="B39" s="6" t="s">
        <v>100</v>
      </c>
      <c r="C39" s="6" t="s">
        <v>66</v>
      </c>
      <c r="D39" s="6">
        <v>1510</v>
      </c>
      <c r="E39" s="6">
        <v>15</v>
      </c>
      <c r="F39" s="6">
        <v>25</v>
      </c>
      <c r="G39" s="1">
        <v>10</v>
      </c>
      <c r="H39" s="1" t="s">
        <v>227</v>
      </c>
    </row>
    <row r="40" spans="1:8" x14ac:dyDescent="0.3">
      <c r="A40" s="6" t="s">
        <v>101</v>
      </c>
      <c r="B40" s="6" t="s">
        <v>102</v>
      </c>
      <c r="C40" s="6" t="s">
        <v>66</v>
      </c>
      <c r="D40" s="6">
        <v>1150</v>
      </c>
      <c r="E40" s="6">
        <v>12</v>
      </c>
      <c r="F40" s="6">
        <v>16</v>
      </c>
      <c r="G40" s="1">
        <v>4</v>
      </c>
      <c r="H40" s="1" t="s">
        <v>227</v>
      </c>
    </row>
    <row r="41" spans="1:8" x14ac:dyDescent="0.3">
      <c r="A41" s="6" t="s">
        <v>103</v>
      </c>
      <c r="B41" s="6" t="s">
        <v>104</v>
      </c>
      <c r="C41" s="6" t="s">
        <v>66</v>
      </c>
      <c r="D41" s="6">
        <v>250</v>
      </c>
      <c r="E41" s="6">
        <v>25</v>
      </c>
      <c r="F41" s="6">
        <v>14</v>
      </c>
      <c r="G41" s="1">
        <v>-11</v>
      </c>
      <c r="H41" s="1" t="s">
        <v>226</v>
      </c>
    </row>
    <row r="42" spans="1:8" x14ac:dyDescent="0.3">
      <c r="A42" s="6" t="s">
        <v>105</v>
      </c>
      <c r="B42" s="6" t="s">
        <v>106</v>
      </c>
      <c r="C42" s="6" t="s">
        <v>16</v>
      </c>
      <c r="D42" s="6">
        <v>10</v>
      </c>
      <c r="E42" s="6">
        <v>30</v>
      </c>
      <c r="F42" s="6">
        <v>40</v>
      </c>
      <c r="G42" s="1">
        <v>10</v>
      </c>
      <c r="H42" s="1" t="s">
        <v>227</v>
      </c>
    </row>
    <row r="43" spans="1:8" x14ac:dyDescent="0.3">
      <c r="A43" s="6" t="s">
        <v>107</v>
      </c>
      <c r="B43" s="6" t="s">
        <v>108</v>
      </c>
      <c r="C43" s="6" t="s">
        <v>16</v>
      </c>
      <c r="D43" s="6">
        <v>50</v>
      </c>
      <c r="E43" s="6">
        <v>30</v>
      </c>
      <c r="F43" s="6">
        <v>50</v>
      </c>
      <c r="G43" s="1">
        <v>20</v>
      </c>
      <c r="H43" s="1" t="s">
        <v>227</v>
      </c>
    </row>
    <row r="44" spans="1:8" x14ac:dyDescent="0.3">
      <c r="A44" s="6" t="s">
        <v>109</v>
      </c>
      <c r="B44" s="6" t="s">
        <v>110</v>
      </c>
      <c r="C44" s="6" t="s">
        <v>16</v>
      </c>
      <c r="D44" s="6">
        <v>80</v>
      </c>
      <c r="E44" s="6">
        <v>20</v>
      </c>
      <c r="F44" s="6">
        <v>35</v>
      </c>
      <c r="G44" s="1">
        <v>15</v>
      </c>
      <c r="H44" s="1" t="s">
        <v>227</v>
      </c>
    </row>
    <row r="45" spans="1:8" x14ac:dyDescent="0.3">
      <c r="A45" s="6" t="s">
        <v>111</v>
      </c>
      <c r="B45" s="6" t="s">
        <v>112</v>
      </c>
      <c r="C45" s="6" t="s">
        <v>16</v>
      </c>
      <c r="D45" s="6">
        <v>10</v>
      </c>
      <c r="E45" s="6">
        <v>20</v>
      </c>
      <c r="F45" s="6">
        <v>12</v>
      </c>
      <c r="G45" s="1">
        <v>-8</v>
      </c>
      <c r="H45" s="1" t="s">
        <v>226</v>
      </c>
    </row>
    <row r="46" spans="1:8" x14ac:dyDescent="0.3">
      <c r="A46" s="6" t="s">
        <v>113</v>
      </c>
      <c r="B46" s="6" t="s">
        <v>114</v>
      </c>
      <c r="C46" s="6" t="s">
        <v>16</v>
      </c>
      <c r="D46" s="6">
        <v>10</v>
      </c>
      <c r="E46" s="6">
        <v>25</v>
      </c>
      <c r="F46" s="6">
        <v>45</v>
      </c>
      <c r="G46" s="1">
        <v>20</v>
      </c>
      <c r="H46" s="1" t="s">
        <v>227</v>
      </c>
    </row>
    <row r="47" spans="1:8" x14ac:dyDescent="0.3">
      <c r="A47" s="6" t="s">
        <v>115</v>
      </c>
      <c r="B47" s="6" t="s">
        <v>116</v>
      </c>
      <c r="C47" s="6" t="s">
        <v>16</v>
      </c>
      <c r="D47" s="6">
        <v>30</v>
      </c>
      <c r="E47" s="6">
        <v>20</v>
      </c>
      <c r="F47" s="6">
        <v>24</v>
      </c>
      <c r="G47" s="1">
        <v>4</v>
      </c>
      <c r="H47" s="1" t="s">
        <v>227</v>
      </c>
    </row>
    <row r="48" spans="1:8" x14ac:dyDescent="0.3">
      <c r="A48" s="6" t="s">
        <v>117</v>
      </c>
      <c r="B48" s="6" t="s">
        <v>118</v>
      </c>
      <c r="C48" s="6" t="s">
        <v>16</v>
      </c>
      <c r="D48" s="6">
        <v>40</v>
      </c>
      <c r="E48" s="6">
        <v>25</v>
      </c>
      <c r="F48" s="6">
        <v>35</v>
      </c>
      <c r="G48" s="1">
        <v>10</v>
      </c>
      <c r="H48" s="1" t="s">
        <v>227</v>
      </c>
    </row>
    <row r="49" spans="1:8" x14ac:dyDescent="0.3">
      <c r="A49" s="6" t="s">
        <v>119</v>
      </c>
      <c r="B49" s="6" t="s">
        <v>120</v>
      </c>
      <c r="C49" s="6" t="s">
        <v>16</v>
      </c>
      <c r="D49" s="6">
        <v>80</v>
      </c>
      <c r="E49" s="6">
        <v>30</v>
      </c>
      <c r="F49" s="6">
        <v>24</v>
      </c>
      <c r="G49" s="1">
        <v>-6</v>
      </c>
      <c r="H49" s="1" t="s">
        <v>226</v>
      </c>
    </row>
    <row r="50" spans="1:8" x14ac:dyDescent="0.3">
      <c r="A50" s="6" t="s">
        <v>121</v>
      </c>
      <c r="B50" s="6" t="s">
        <v>122</v>
      </c>
      <c r="C50" s="6" t="s">
        <v>16</v>
      </c>
      <c r="D50" s="6">
        <v>20</v>
      </c>
      <c r="E50" s="6">
        <v>20</v>
      </c>
      <c r="F50" s="6">
        <v>31</v>
      </c>
      <c r="G50" s="1">
        <v>11</v>
      </c>
      <c r="H50" s="1" t="s">
        <v>227</v>
      </c>
    </row>
    <row r="51" spans="1:8" x14ac:dyDescent="0.3">
      <c r="A51" s="6" t="s">
        <v>123</v>
      </c>
      <c r="B51" s="6" t="s">
        <v>124</v>
      </c>
      <c r="C51" s="6" t="s">
        <v>16</v>
      </c>
      <c r="D51" s="6">
        <v>40</v>
      </c>
      <c r="E51" s="6">
        <v>35</v>
      </c>
      <c r="F51" s="6">
        <v>62</v>
      </c>
      <c r="G51" s="1">
        <v>27</v>
      </c>
      <c r="H51" s="1" t="s">
        <v>227</v>
      </c>
    </row>
    <row r="52" spans="1:8" x14ac:dyDescent="0.3">
      <c r="A52" s="6" t="s">
        <v>125</v>
      </c>
      <c r="B52" s="6" t="s">
        <v>126</v>
      </c>
      <c r="C52" s="6" t="s">
        <v>16</v>
      </c>
      <c r="D52" s="6">
        <v>60</v>
      </c>
      <c r="E52" s="6">
        <v>45</v>
      </c>
      <c r="F52" s="6">
        <v>21</v>
      </c>
      <c r="G52" s="1">
        <v>-24</v>
      </c>
      <c r="H52" s="1" t="s">
        <v>226</v>
      </c>
    </row>
    <row r="53" spans="1:8" x14ac:dyDescent="0.3">
      <c r="A53" s="6" t="s">
        <v>127</v>
      </c>
      <c r="B53" s="6" t="s">
        <v>128</v>
      </c>
      <c r="C53" s="6" t="s">
        <v>16</v>
      </c>
      <c r="D53" s="6">
        <v>55</v>
      </c>
      <c r="E53" s="6">
        <v>25</v>
      </c>
      <c r="F53" s="6">
        <v>24</v>
      </c>
      <c r="G53" s="1">
        <v>-1</v>
      </c>
      <c r="H53" s="1" t="s">
        <v>226</v>
      </c>
    </row>
    <row r="54" spans="1:8" x14ac:dyDescent="0.3">
      <c r="A54" s="6" t="s">
        <v>129</v>
      </c>
      <c r="B54" s="6" t="s">
        <v>130</v>
      </c>
      <c r="C54" s="6" t="s">
        <v>16</v>
      </c>
      <c r="D54" s="6">
        <v>660</v>
      </c>
      <c r="E54" s="6">
        <v>24</v>
      </c>
      <c r="F54" s="6">
        <v>21</v>
      </c>
      <c r="G54" s="1">
        <v>-3</v>
      </c>
      <c r="H54" s="1" t="s">
        <v>226</v>
      </c>
    </row>
    <row r="55" spans="1:8" x14ac:dyDescent="0.3">
      <c r="A55" s="6" t="s">
        <v>131</v>
      </c>
      <c r="B55" s="6" t="s">
        <v>132</v>
      </c>
      <c r="C55" s="6" t="s">
        <v>16</v>
      </c>
      <c r="D55" s="6">
        <v>1050</v>
      </c>
      <c r="E55" s="6">
        <v>12</v>
      </c>
      <c r="F55" s="6">
        <v>36</v>
      </c>
      <c r="G55" s="1">
        <v>24</v>
      </c>
      <c r="H55" s="1" t="s">
        <v>227</v>
      </c>
    </row>
    <row r="56" spans="1:8" x14ac:dyDescent="0.3">
      <c r="A56" s="6" t="s">
        <v>133</v>
      </c>
      <c r="B56" s="6" t="s">
        <v>134</v>
      </c>
      <c r="C56" s="6" t="s">
        <v>16</v>
      </c>
      <c r="D56" s="6">
        <v>250</v>
      </c>
      <c r="E56" s="6">
        <v>30</v>
      </c>
      <c r="F56" s="6">
        <v>24</v>
      </c>
      <c r="G56" s="1">
        <v>-6</v>
      </c>
      <c r="H56" s="1" t="s">
        <v>226</v>
      </c>
    </row>
    <row r="57" spans="1:8" x14ac:dyDescent="0.3">
      <c r="A57" s="6" t="s">
        <v>135</v>
      </c>
      <c r="B57" s="6" t="s">
        <v>136</v>
      </c>
      <c r="C57" s="6" t="s">
        <v>16</v>
      </c>
      <c r="D57" s="6">
        <v>30</v>
      </c>
      <c r="E57" s="6">
        <v>24</v>
      </c>
      <c r="F57" s="6">
        <v>23</v>
      </c>
      <c r="G57" s="1">
        <v>-1</v>
      </c>
      <c r="H57" s="1" t="s">
        <v>226</v>
      </c>
    </row>
    <row r="58" spans="1:8" x14ac:dyDescent="0.3">
      <c r="A58" s="6" t="s">
        <v>137</v>
      </c>
      <c r="B58" s="6" t="s">
        <v>138</v>
      </c>
      <c r="C58" s="6" t="s">
        <v>16</v>
      </c>
      <c r="D58" s="6">
        <v>150</v>
      </c>
      <c r="E58" s="6">
        <v>30</v>
      </c>
      <c r="F58" s="6">
        <v>15</v>
      </c>
      <c r="G58" s="1">
        <v>-15</v>
      </c>
      <c r="H58" s="1" t="s">
        <v>226</v>
      </c>
    </row>
    <row r="59" spans="1:8" x14ac:dyDescent="0.3">
      <c r="A59" s="6" t="s">
        <v>139</v>
      </c>
      <c r="B59" s="6" t="s">
        <v>140</v>
      </c>
      <c r="C59" s="6" t="s">
        <v>16</v>
      </c>
      <c r="D59" s="6">
        <v>60</v>
      </c>
      <c r="E59" s="6">
        <v>20</v>
      </c>
      <c r="F59" s="6">
        <v>62</v>
      </c>
      <c r="G59" s="1">
        <v>42</v>
      </c>
      <c r="H59" s="1" t="s">
        <v>227</v>
      </c>
    </row>
    <row r="60" spans="1:8" x14ac:dyDescent="0.3">
      <c r="A60" s="6" t="s">
        <v>141</v>
      </c>
      <c r="B60" s="6" t="s">
        <v>142</v>
      </c>
      <c r="C60" s="6" t="s">
        <v>16</v>
      </c>
      <c r="D60" s="6">
        <v>30</v>
      </c>
      <c r="E60" s="6">
        <v>50</v>
      </c>
      <c r="F60" s="6">
        <v>23</v>
      </c>
      <c r="G60" s="1">
        <v>-27</v>
      </c>
      <c r="H60" s="1" t="s">
        <v>226</v>
      </c>
    </row>
    <row r="61" spans="1:8" x14ac:dyDescent="0.3">
      <c r="A61" s="6" t="s">
        <v>143</v>
      </c>
      <c r="B61" s="6" t="s">
        <v>144</v>
      </c>
      <c r="C61" s="6" t="s">
        <v>16</v>
      </c>
      <c r="D61" s="6">
        <v>40</v>
      </c>
      <c r="E61" s="6">
        <v>30</v>
      </c>
      <c r="F61" s="6">
        <v>27</v>
      </c>
      <c r="G61" s="1">
        <v>-3</v>
      </c>
      <c r="H61" s="1" t="s">
        <v>226</v>
      </c>
    </row>
    <row r="62" spans="1:8" x14ac:dyDescent="0.3">
      <c r="A62" s="6" t="s">
        <v>145</v>
      </c>
      <c r="B62" s="6" t="s">
        <v>146</v>
      </c>
      <c r="C62" s="6" t="s">
        <v>147</v>
      </c>
      <c r="D62" s="6">
        <v>1150</v>
      </c>
      <c r="E62" s="6">
        <v>12</v>
      </c>
      <c r="F62" s="6">
        <v>37</v>
      </c>
      <c r="G62" s="1">
        <v>25</v>
      </c>
      <c r="H62" s="1" t="s">
        <v>227</v>
      </c>
    </row>
    <row r="63" spans="1:8" x14ac:dyDescent="0.3">
      <c r="A63" s="6" t="s">
        <v>148</v>
      </c>
      <c r="B63" s="6" t="s">
        <v>149</v>
      </c>
      <c r="C63" s="6" t="s">
        <v>147</v>
      </c>
      <c r="D63" s="6">
        <v>2450</v>
      </c>
      <c r="E63" s="6">
        <v>18</v>
      </c>
      <c r="F63" s="6">
        <v>28</v>
      </c>
      <c r="G63" s="1">
        <v>10</v>
      </c>
      <c r="H63" s="1" t="s">
        <v>227</v>
      </c>
    </row>
    <row r="64" spans="1:8" x14ac:dyDescent="0.3">
      <c r="A64" s="6" t="s">
        <v>150</v>
      </c>
      <c r="B64" s="6" t="s">
        <v>151</v>
      </c>
      <c r="C64" s="6" t="s">
        <v>147</v>
      </c>
      <c r="D64" s="6">
        <v>2599</v>
      </c>
      <c r="E64" s="6">
        <v>6</v>
      </c>
      <c r="F64" s="6">
        <v>5</v>
      </c>
      <c r="G64" s="1">
        <v>-1</v>
      </c>
      <c r="H64" s="1" t="s">
        <v>226</v>
      </c>
    </row>
    <row r="65" spans="1:8" x14ac:dyDescent="0.3">
      <c r="A65" s="6" t="s">
        <v>152</v>
      </c>
      <c r="B65" s="6" t="s">
        <v>153</v>
      </c>
      <c r="C65" s="6" t="s">
        <v>147</v>
      </c>
      <c r="D65" s="6">
        <v>3499</v>
      </c>
      <c r="E65" s="6">
        <v>12</v>
      </c>
      <c r="F65" s="6">
        <v>18</v>
      </c>
      <c r="G65" s="1">
        <v>6</v>
      </c>
      <c r="H65" s="1" t="s">
        <v>227</v>
      </c>
    </row>
    <row r="66" spans="1:8" x14ac:dyDescent="0.3">
      <c r="A66" s="6" t="s">
        <v>154</v>
      </c>
      <c r="B66" s="6" t="s">
        <v>155</v>
      </c>
      <c r="C66" s="6" t="s">
        <v>147</v>
      </c>
      <c r="D66" s="6">
        <v>4599</v>
      </c>
      <c r="E66" s="6">
        <v>15</v>
      </c>
      <c r="F66" s="6">
        <v>27</v>
      </c>
      <c r="G66" s="1">
        <v>12</v>
      </c>
      <c r="H66" s="1" t="s">
        <v>227</v>
      </c>
    </row>
    <row r="67" spans="1:8" x14ac:dyDescent="0.3">
      <c r="A67" s="6" t="s">
        <v>156</v>
      </c>
      <c r="B67" s="6" t="s">
        <v>157</v>
      </c>
      <c r="C67" s="6" t="s">
        <v>147</v>
      </c>
      <c r="D67" s="6">
        <v>12599</v>
      </c>
      <c r="E67" s="6">
        <v>6</v>
      </c>
      <c r="F67" s="6">
        <v>12</v>
      </c>
      <c r="G67" s="1">
        <v>6</v>
      </c>
      <c r="H67" s="1" t="s">
        <v>227</v>
      </c>
    </row>
    <row r="68" spans="1:8" x14ac:dyDescent="0.3">
      <c r="A68" s="6" t="s">
        <v>158</v>
      </c>
      <c r="B68" s="6" t="s">
        <v>159</v>
      </c>
      <c r="C68" s="6" t="s">
        <v>147</v>
      </c>
      <c r="D68" s="6">
        <v>9500</v>
      </c>
      <c r="E68" s="6">
        <v>3</v>
      </c>
      <c r="F68" s="6">
        <v>9</v>
      </c>
      <c r="G68" s="1">
        <v>6</v>
      </c>
      <c r="H68" s="1" t="s">
        <v>227</v>
      </c>
    </row>
    <row r="69" spans="1:8" x14ac:dyDescent="0.3">
      <c r="A69" s="6" t="s">
        <v>160</v>
      </c>
      <c r="B69" s="6" t="s">
        <v>161</v>
      </c>
      <c r="C69" s="6" t="s">
        <v>147</v>
      </c>
      <c r="D69" s="6">
        <v>9899</v>
      </c>
      <c r="E69" s="6">
        <v>3</v>
      </c>
      <c r="F69" s="6">
        <v>4</v>
      </c>
      <c r="G69" s="1">
        <v>1</v>
      </c>
      <c r="H69" s="1" t="s">
        <v>227</v>
      </c>
    </row>
    <row r="70" spans="1:8" x14ac:dyDescent="0.3">
      <c r="A70" s="6" t="s">
        <v>162</v>
      </c>
      <c r="B70" s="6" t="s">
        <v>163</v>
      </c>
      <c r="C70" s="6" t="s">
        <v>147</v>
      </c>
      <c r="D70" s="6">
        <v>2688</v>
      </c>
      <c r="E70" s="6">
        <v>10</v>
      </c>
      <c r="F70" s="6">
        <v>17</v>
      </c>
      <c r="G70" s="1">
        <v>7</v>
      </c>
      <c r="H70" s="1" t="s">
        <v>227</v>
      </c>
    </row>
    <row r="71" spans="1:8" x14ac:dyDescent="0.3">
      <c r="A71" s="6" t="s">
        <v>164</v>
      </c>
      <c r="B71" s="6" t="s">
        <v>165</v>
      </c>
      <c r="C71" s="6" t="s">
        <v>147</v>
      </c>
      <c r="D71" s="6">
        <v>3500</v>
      </c>
      <c r="E71" s="6">
        <v>6</v>
      </c>
      <c r="F71" s="6">
        <v>8</v>
      </c>
      <c r="G71" s="1">
        <v>2</v>
      </c>
      <c r="H71" s="1" t="s">
        <v>227</v>
      </c>
    </row>
    <row r="72" spans="1:8" x14ac:dyDescent="0.3">
      <c r="A72" s="6" t="s">
        <v>166</v>
      </c>
      <c r="B72" s="6" t="s">
        <v>167</v>
      </c>
      <c r="C72" s="6" t="s">
        <v>147</v>
      </c>
      <c r="D72" s="6">
        <v>1200</v>
      </c>
      <c r="E72" s="6">
        <v>6</v>
      </c>
      <c r="F72" s="6">
        <v>5</v>
      </c>
      <c r="G72" s="1">
        <v>-1</v>
      </c>
      <c r="H72" s="1" t="s">
        <v>226</v>
      </c>
    </row>
    <row r="73" spans="1:8" x14ac:dyDescent="0.3">
      <c r="A73" s="6" t="s">
        <v>168</v>
      </c>
      <c r="B73" s="6" t="s">
        <v>169</v>
      </c>
      <c r="C73" s="6" t="s">
        <v>147</v>
      </c>
      <c r="D73" s="6">
        <v>12899</v>
      </c>
      <c r="E73" s="6">
        <v>3</v>
      </c>
      <c r="F73" s="6">
        <v>6</v>
      </c>
      <c r="G73" s="1">
        <v>3</v>
      </c>
      <c r="H73" s="1" t="s">
        <v>227</v>
      </c>
    </row>
    <row r="74" spans="1:8" x14ac:dyDescent="0.3">
      <c r="A74" s="6" t="s">
        <v>170</v>
      </c>
      <c r="B74" s="6" t="s">
        <v>171</v>
      </c>
      <c r="C74" s="6" t="s">
        <v>147</v>
      </c>
      <c r="D74" s="6">
        <v>1250</v>
      </c>
      <c r="E74" s="6">
        <v>15</v>
      </c>
      <c r="F74" s="6">
        <v>23</v>
      </c>
      <c r="G74" s="1">
        <v>8</v>
      </c>
      <c r="H74" s="1" t="s">
        <v>227</v>
      </c>
    </row>
    <row r="75" spans="1:8" x14ac:dyDescent="0.3">
      <c r="A75" s="6" t="s">
        <v>172</v>
      </c>
      <c r="B75" s="6" t="s">
        <v>173</v>
      </c>
      <c r="C75" s="6" t="s">
        <v>147</v>
      </c>
      <c r="D75" s="6">
        <v>26000</v>
      </c>
      <c r="E75" s="6">
        <v>5</v>
      </c>
      <c r="F75" s="6">
        <v>7</v>
      </c>
      <c r="G75" s="1">
        <v>2</v>
      </c>
      <c r="H75" s="1" t="s">
        <v>227</v>
      </c>
    </row>
    <row r="76" spans="1:8" x14ac:dyDescent="0.3">
      <c r="A76" s="6" t="s">
        <v>174</v>
      </c>
      <c r="B76" s="6" t="s">
        <v>175</v>
      </c>
      <c r="C76" s="6" t="s">
        <v>147</v>
      </c>
      <c r="D76" s="6">
        <v>1200</v>
      </c>
      <c r="E76" s="6">
        <v>12</v>
      </c>
      <c r="F76" s="6">
        <v>10</v>
      </c>
      <c r="G76" s="1">
        <v>-2</v>
      </c>
      <c r="H76" s="1" t="s">
        <v>226</v>
      </c>
    </row>
    <row r="77" spans="1:8" x14ac:dyDescent="0.3">
      <c r="A77" s="6" t="s">
        <v>176</v>
      </c>
      <c r="B77" s="6" t="s">
        <v>177</v>
      </c>
      <c r="C77" s="6" t="s">
        <v>147</v>
      </c>
      <c r="D77" s="6">
        <v>12600</v>
      </c>
      <c r="E77" s="6">
        <v>6</v>
      </c>
      <c r="F77" s="6">
        <v>8</v>
      </c>
      <c r="G77" s="1">
        <v>2</v>
      </c>
      <c r="H77" s="1" t="s">
        <v>227</v>
      </c>
    </row>
    <row r="78" spans="1:8" x14ac:dyDescent="0.3">
      <c r="A78" s="6" t="s">
        <v>178</v>
      </c>
      <c r="B78" s="6" t="s">
        <v>179</v>
      </c>
      <c r="C78" s="6" t="s">
        <v>147</v>
      </c>
      <c r="D78" s="6">
        <v>5700</v>
      </c>
      <c r="E78" s="6">
        <v>5</v>
      </c>
      <c r="F78" s="6">
        <v>7</v>
      </c>
      <c r="G78" s="1">
        <v>2</v>
      </c>
      <c r="H78" s="1" t="s">
        <v>227</v>
      </c>
    </row>
    <row r="79" spans="1:8" x14ac:dyDescent="0.3">
      <c r="A79" s="6" t="s">
        <v>180</v>
      </c>
      <c r="B79" s="6" t="s">
        <v>181</v>
      </c>
      <c r="C79" s="6" t="s">
        <v>147</v>
      </c>
      <c r="D79" s="6">
        <v>10500</v>
      </c>
      <c r="E79" s="6">
        <v>6</v>
      </c>
      <c r="F79" s="6">
        <v>13</v>
      </c>
      <c r="G79" s="1">
        <v>7</v>
      </c>
      <c r="H79" s="1" t="s">
        <v>227</v>
      </c>
    </row>
    <row r="80" spans="1:8" x14ac:dyDescent="0.3">
      <c r="A80" s="6" t="s">
        <v>182</v>
      </c>
      <c r="B80" s="6" t="s">
        <v>183</v>
      </c>
      <c r="C80" s="6" t="s">
        <v>147</v>
      </c>
      <c r="D80" s="6">
        <v>2799</v>
      </c>
      <c r="E80" s="6">
        <v>5</v>
      </c>
      <c r="F80" s="6">
        <v>14</v>
      </c>
      <c r="G80" s="1">
        <v>9</v>
      </c>
      <c r="H80" s="1" t="s">
        <v>227</v>
      </c>
    </row>
    <row r="81" spans="1:8" x14ac:dyDescent="0.3">
      <c r="A81" s="6" t="s">
        <v>184</v>
      </c>
      <c r="B81" s="6" t="s">
        <v>185</v>
      </c>
      <c r="C81" s="6" t="s">
        <v>147</v>
      </c>
      <c r="D81" s="6">
        <v>1699</v>
      </c>
      <c r="E81" s="6">
        <v>5</v>
      </c>
      <c r="F81" s="6">
        <v>21</v>
      </c>
      <c r="G81" s="1">
        <v>16</v>
      </c>
      <c r="H81" s="1" t="s">
        <v>227</v>
      </c>
    </row>
    <row r="82" spans="1:8" x14ac:dyDescent="0.3">
      <c r="A82" s="6" t="s">
        <v>230</v>
      </c>
      <c r="B82" s="6" t="s">
        <v>224</v>
      </c>
      <c r="C82" s="6" t="s">
        <v>11</v>
      </c>
      <c r="D82" s="38" t="s">
        <v>225</v>
      </c>
      <c r="E82" s="38" t="s">
        <v>231</v>
      </c>
      <c r="F82" s="6">
        <v>20</v>
      </c>
      <c r="G82" s="1">
        <v>15</v>
      </c>
      <c r="H82" s="1" t="s">
        <v>226</v>
      </c>
    </row>
    <row r="83" spans="1:8" x14ac:dyDescent="0.3">
      <c r="A83" s="6"/>
      <c r="B83" s="6"/>
      <c r="C83" s="6"/>
      <c r="D83" s="6"/>
      <c r="E83" s="6"/>
      <c r="F83" s="6"/>
      <c r="G83" s="1">
        <v>212</v>
      </c>
      <c r="H83" s="1" t="s">
        <v>226</v>
      </c>
    </row>
    <row r="84" spans="1:8" x14ac:dyDescent="0.3">
      <c r="A84" s="6"/>
      <c r="B84" s="6"/>
      <c r="C84" s="6"/>
      <c r="D84" s="6"/>
      <c r="E84" s="6"/>
      <c r="F84" s="6"/>
      <c r="G84" s="1">
        <v>2</v>
      </c>
      <c r="H84" s="1" t="s">
        <v>226</v>
      </c>
    </row>
    <row r="85" spans="1:8" x14ac:dyDescent="0.3">
      <c r="G85" s="1" t="str">
        <f t="shared" ref="G67:G97" si="0">IF(COUNTA(E85:F85)=2,F85-E85," ")</f>
        <v xml:space="preserve"> </v>
      </c>
    </row>
    <row r="86" spans="1:8" x14ac:dyDescent="0.3">
      <c r="G86" s="1" t="str">
        <f t="shared" si="0"/>
        <v xml:space="preserve"> </v>
      </c>
    </row>
    <row r="87" spans="1:8" x14ac:dyDescent="0.3">
      <c r="G87" s="1" t="str">
        <f t="shared" si="0"/>
        <v xml:space="preserve"> </v>
      </c>
    </row>
    <row r="88" spans="1:8" x14ac:dyDescent="0.3">
      <c r="G88" s="1" t="str">
        <f t="shared" si="0"/>
        <v xml:space="preserve"> </v>
      </c>
    </row>
    <row r="89" spans="1:8" x14ac:dyDescent="0.3">
      <c r="G89" s="1" t="str">
        <f t="shared" si="0"/>
        <v xml:space="preserve"> </v>
      </c>
    </row>
    <row r="90" spans="1:8" x14ac:dyDescent="0.3">
      <c r="G90" s="1" t="str">
        <f t="shared" si="0"/>
        <v xml:space="preserve"> </v>
      </c>
    </row>
    <row r="91" spans="1:8" x14ac:dyDescent="0.3">
      <c r="G91" s="1" t="str">
        <f t="shared" si="0"/>
        <v xml:space="preserve"> </v>
      </c>
    </row>
    <row r="92" spans="1:8" x14ac:dyDescent="0.3">
      <c r="G92" s="1" t="str">
        <f t="shared" si="0"/>
        <v xml:space="preserve"> </v>
      </c>
    </row>
    <row r="93" spans="1:8" x14ac:dyDescent="0.3">
      <c r="G93" s="1" t="str">
        <f t="shared" si="0"/>
        <v xml:space="preserve"> </v>
      </c>
    </row>
    <row r="94" spans="1:8" x14ac:dyDescent="0.3">
      <c r="G94" s="1" t="str">
        <f t="shared" si="0"/>
        <v xml:space="preserve"> </v>
      </c>
    </row>
    <row r="95" spans="1:8" x14ac:dyDescent="0.3">
      <c r="G95" s="1" t="str">
        <f t="shared" si="0"/>
        <v xml:space="preserve"> </v>
      </c>
    </row>
    <row r="96" spans="1:8" x14ac:dyDescent="0.3">
      <c r="G96" s="1" t="str">
        <f t="shared" si="0"/>
        <v xml:space="preserve"> </v>
      </c>
    </row>
    <row r="97" spans="7:7" x14ac:dyDescent="0.3">
      <c r="G97" s="1" t="str">
        <f t="shared" si="0"/>
        <v xml:space="preserve"> </v>
      </c>
    </row>
    <row r="98" spans="7:7" x14ac:dyDescent="0.3">
      <c r="G98" s="1" t="str">
        <f>IF(COUNTA(E98:F98)=2,F98-E98," ")</f>
        <v xml:space="preserve"> </v>
      </c>
    </row>
    <row r="99" spans="7:7" x14ac:dyDescent="0.3">
      <c r="G99" s="1" t="str">
        <f t="shared" ref="G99:G126" si="1">IF(COUNTA(E99:F99)=2,F99-E99," ")</f>
        <v xml:space="preserve"> </v>
      </c>
    </row>
    <row r="100" spans="7:7" x14ac:dyDescent="0.3">
      <c r="G100" s="1" t="str">
        <f t="shared" si="1"/>
        <v xml:space="preserve"> </v>
      </c>
    </row>
    <row r="101" spans="7:7" x14ac:dyDescent="0.3">
      <c r="G101" s="1" t="str">
        <f t="shared" si="1"/>
        <v xml:space="preserve"> </v>
      </c>
    </row>
    <row r="102" spans="7:7" x14ac:dyDescent="0.3">
      <c r="G102" s="1" t="str">
        <f t="shared" si="1"/>
        <v xml:space="preserve"> </v>
      </c>
    </row>
    <row r="103" spans="7:7" x14ac:dyDescent="0.3">
      <c r="G103" s="1" t="str">
        <f t="shared" si="1"/>
        <v xml:space="preserve"> </v>
      </c>
    </row>
    <row r="104" spans="7:7" x14ac:dyDescent="0.3">
      <c r="G104" s="1" t="str">
        <f t="shared" si="1"/>
        <v xml:space="preserve"> </v>
      </c>
    </row>
    <row r="105" spans="7:7" x14ac:dyDescent="0.3">
      <c r="G105" s="1" t="str">
        <f t="shared" si="1"/>
        <v xml:space="preserve"> </v>
      </c>
    </row>
    <row r="106" spans="7:7" x14ac:dyDescent="0.3">
      <c r="G106" s="1" t="str">
        <f t="shared" si="1"/>
        <v xml:space="preserve"> </v>
      </c>
    </row>
    <row r="107" spans="7:7" x14ac:dyDescent="0.3">
      <c r="G107" s="1" t="str">
        <f t="shared" si="1"/>
        <v xml:space="preserve"> </v>
      </c>
    </row>
    <row r="108" spans="7:7" x14ac:dyDescent="0.3">
      <c r="G108" s="1" t="str">
        <f t="shared" si="1"/>
        <v xml:space="preserve"> </v>
      </c>
    </row>
    <row r="109" spans="7:7" x14ac:dyDescent="0.3">
      <c r="G109" s="1" t="str">
        <f t="shared" si="1"/>
        <v xml:space="preserve"> </v>
      </c>
    </row>
    <row r="110" spans="7:7" x14ac:dyDescent="0.3">
      <c r="G110" s="1" t="str">
        <f t="shared" si="1"/>
        <v xml:space="preserve"> </v>
      </c>
    </row>
    <row r="111" spans="7:7" x14ac:dyDescent="0.3">
      <c r="G111" s="1" t="str">
        <f t="shared" si="1"/>
        <v xml:space="preserve"> </v>
      </c>
    </row>
    <row r="112" spans="7:7" x14ac:dyDescent="0.3">
      <c r="G112" s="1" t="str">
        <f t="shared" si="1"/>
        <v xml:space="preserve"> </v>
      </c>
    </row>
    <row r="113" spans="7:7" x14ac:dyDescent="0.3">
      <c r="G113" s="1" t="str">
        <f t="shared" si="1"/>
        <v xml:space="preserve"> </v>
      </c>
    </row>
    <row r="114" spans="7:7" x14ac:dyDescent="0.3">
      <c r="G114" s="1" t="str">
        <f t="shared" si="1"/>
        <v xml:space="preserve"> </v>
      </c>
    </row>
    <row r="115" spans="7:7" x14ac:dyDescent="0.3">
      <c r="G115" s="1" t="str">
        <f t="shared" si="1"/>
        <v xml:space="preserve"> </v>
      </c>
    </row>
    <row r="116" spans="7:7" x14ac:dyDescent="0.3">
      <c r="G116" s="1" t="str">
        <f t="shared" si="1"/>
        <v xml:space="preserve"> </v>
      </c>
    </row>
    <row r="117" spans="7:7" x14ac:dyDescent="0.3">
      <c r="G117" s="1" t="str">
        <f t="shared" si="1"/>
        <v xml:space="preserve"> </v>
      </c>
    </row>
    <row r="118" spans="7:7" x14ac:dyDescent="0.3">
      <c r="G118" s="1" t="str">
        <f t="shared" si="1"/>
        <v xml:space="preserve"> </v>
      </c>
    </row>
    <row r="119" spans="7:7" x14ac:dyDescent="0.3">
      <c r="G119" s="1" t="str">
        <f t="shared" si="1"/>
        <v xml:space="preserve"> </v>
      </c>
    </row>
    <row r="120" spans="7:7" x14ac:dyDescent="0.3">
      <c r="G120" s="1" t="str">
        <f t="shared" si="1"/>
        <v xml:space="preserve"> </v>
      </c>
    </row>
    <row r="121" spans="7:7" x14ac:dyDescent="0.3">
      <c r="G121" s="1" t="str">
        <f t="shared" si="1"/>
        <v xml:space="preserve"> </v>
      </c>
    </row>
    <row r="122" spans="7:7" x14ac:dyDescent="0.3">
      <c r="G122" s="1" t="str">
        <f t="shared" si="1"/>
        <v xml:space="preserve"> </v>
      </c>
    </row>
    <row r="123" spans="7:7" x14ac:dyDescent="0.3">
      <c r="G123" s="1" t="str">
        <f t="shared" si="1"/>
        <v xml:space="preserve"> </v>
      </c>
    </row>
    <row r="124" spans="7:7" x14ac:dyDescent="0.3">
      <c r="G124" s="1" t="str">
        <f t="shared" si="1"/>
        <v xml:space="preserve"> </v>
      </c>
    </row>
    <row r="125" spans="7:7" x14ac:dyDescent="0.3">
      <c r="G125" s="1" t="str">
        <f t="shared" si="1"/>
        <v xml:space="preserve"> </v>
      </c>
    </row>
    <row r="126" spans="7:7" x14ac:dyDescent="0.3">
      <c r="G126" s="1" t="str">
        <f t="shared" si="1"/>
        <v xml:space="preserve"> </v>
      </c>
    </row>
    <row r="127" spans="7:7" x14ac:dyDescent="0.3">
      <c r="G127" s="1" t="str">
        <f>IF(COUNTA(E127:F127)=2,F127-E127," ")</f>
        <v xml:space="preserve"> </v>
      </c>
    </row>
    <row r="128" spans="7:7" x14ac:dyDescent="0.3">
      <c r="G128" s="1" t="str">
        <f t="shared" ref="G128:G143" si="2">IF(COUNTA(E128:F128)=2,F128-E128," ")</f>
        <v xml:space="preserve"> </v>
      </c>
    </row>
    <row r="129" spans="7:7" x14ac:dyDescent="0.3">
      <c r="G129" s="1" t="str">
        <f t="shared" si="2"/>
        <v xml:space="preserve"> </v>
      </c>
    </row>
    <row r="130" spans="7:7" x14ac:dyDescent="0.3">
      <c r="G130" s="1" t="str">
        <f t="shared" si="2"/>
        <v xml:space="preserve"> </v>
      </c>
    </row>
    <row r="131" spans="7:7" x14ac:dyDescent="0.3">
      <c r="G131" s="1" t="str">
        <f t="shared" si="2"/>
        <v xml:space="preserve"> </v>
      </c>
    </row>
    <row r="132" spans="7:7" x14ac:dyDescent="0.3">
      <c r="G132" s="1" t="str">
        <f t="shared" si="2"/>
        <v xml:space="preserve"> </v>
      </c>
    </row>
    <row r="133" spans="7:7" x14ac:dyDescent="0.3">
      <c r="G133" s="1" t="str">
        <f t="shared" si="2"/>
        <v xml:space="preserve"> </v>
      </c>
    </row>
    <row r="134" spans="7:7" x14ac:dyDescent="0.3">
      <c r="G134" s="1" t="str">
        <f t="shared" si="2"/>
        <v xml:space="preserve"> </v>
      </c>
    </row>
    <row r="135" spans="7:7" x14ac:dyDescent="0.3">
      <c r="G135" s="1" t="str">
        <f t="shared" si="2"/>
        <v xml:space="preserve"> </v>
      </c>
    </row>
    <row r="136" spans="7:7" x14ac:dyDescent="0.3">
      <c r="G136" s="1" t="str">
        <f t="shared" si="2"/>
        <v xml:space="preserve"> </v>
      </c>
    </row>
    <row r="137" spans="7:7" x14ac:dyDescent="0.3">
      <c r="G137" s="1" t="str">
        <f t="shared" si="2"/>
        <v xml:space="preserve"> </v>
      </c>
    </row>
    <row r="138" spans="7:7" x14ac:dyDescent="0.3">
      <c r="G138" s="1" t="str">
        <f t="shared" si="2"/>
        <v xml:space="preserve"> </v>
      </c>
    </row>
    <row r="139" spans="7:7" x14ac:dyDescent="0.3">
      <c r="G139" s="1" t="str">
        <f t="shared" si="2"/>
        <v xml:space="preserve"> </v>
      </c>
    </row>
    <row r="140" spans="7:7" x14ac:dyDescent="0.3">
      <c r="G140" s="1" t="str">
        <f t="shared" si="2"/>
        <v xml:space="preserve"> </v>
      </c>
    </row>
    <row r="141" spans="7:7" x14ac:dyDescent="0.3">
      <c r="G141" s="1" t="str">
        <f t="shared" si="2"/>
        <v xml:space="preserve"> </v>
      </c>
    </row>
    <row r="142" spans="7:7" x14ac:dyDescent="0.3">
      <c r="G142" s="1" t="str">
        <f t="shared" si="2"/>
        <v xml:space="preserve"> </v>
      </c>
    </row>
    <row r="143" spans="7:7" x14ac:dyDescent="0.3">
      <c r="G143" s="1" t="str">
        <f t="shared" si="2"/>
        <v xml:space="preserve"> </v>
      </c>
    </row>
  </sheetData>
  <pageMargins left="0.7" right="0.7" top="0.75" bottom="0.75" header="0.3" footer="0.3"/>
  <drawing r:id="rId1"/>
  <legacyDrawing r:id="rId2"/>
  <controls>
    <mc:AlternateContent xmlns:mc="http://schemas.openxmlformats.org/markup-compatibility/2006">
      <mc:Choice Requires="x14">
        <control shapeId="1025" r:id="rId3" name="CommandButton1">
          <controlPr defaultSize="0" autoLine="0" r:id="rId4">
            <anchor moveWithCells="1">
              <from>
                <xdr:col>16</xdr:col>
                <xdr:colOff>53340</xdr:colOff>
                <xdr:row>7</xdr:row>
                <xdr:rowOff>83820</xdr:rowOff>
              </from>
              <to>
                <xdr:col>17</xdr:col>
                <xdr:colOff>579120</xdr:colOff>
                <xdr:row>10</xdr:row>
                <xdr:rowOff>7620</xdr:rowOff>
              </to>
            </anchor>
          </controlPr>
        </control>
      </mc:Choice>
      <mc:Fallback>
        <control shapeId="1025" r:id="rId3" name="CommandButton1"/>
      </mc:Fallback>
    </mc:AlternateContent>
    <mc:AlternateContent xmlns:mc="http://schemas.openxmlformats.org/markup-compatibility/2006">
      <mc:Choice Requires="x14">
        <control shapeId="1026" r:id="rId5" name="CommandButton2">
          <controlPr defaultSize="0" autoLine="0" r:id="rId6">
            <anchor moveWithCells="1">
              <from>
                <xdr:col>8</xdr:col>
                <xdr:colOff>7620</xdr:colOff>
                <xdr:row>6</xdr:row>
                <xdr:rowOff>38100</xdr:rowOff>
              </from>
              <to>
                <xdr:col>9</xdr:col>
                <xdr:colOff>769620</xdr:colOff>
                <xdr:row>8</xdr:row>
                <xdr:rowOff>144780</xdr:rowOff>
              </to>
            </anchor>
          </controlPr>
        </control>
      </mc:Choice>
      <mc:Fallback>
        <control shapeId="1026" r:id="rId5" name="CommandButton2"/>
      </mc:Fallback>
    </mc:AlternateContent>
    <mc:AlternateContent xmlns:mc="http://schemas.openxmlformats.org/markup-compatibility/2006">
      <mc:Choice Requires="x14">
        <control shapeId="1027" r:id="rId7" name="CommandButton3">
          <controlPr defaultSize="0" autoLine="0" r:id="rId8">
            <anchor moveWithCells="1">
              <from>
                <xdr:col>8</xdr:col>
                <xdr:colOff>15240</xdr:colOff>
                <xdr:row>10</xdr:row>
                <xdr:rowOff>38100</xdr:rowOff>
              </from>
              <to>
                <xdr:col>9</xdr:col>
                <xdr:colOff>754380</xdr:colOff>
                <xdr:row>12</xdr:row>
                <xdr:rowOff>68580</xdr:rowOff>
              </to>
            </anchor>
          </controlPr>
        </control>
      </mc:Choice>
      <mc:Fallback>
        <control shapeId="1027" r:id="rId7" name="CommandButton3"/>
      </mc:Fallback>
    </mc:AlternateContent>
    <mc:AlternateContent xmlns:mc="http://schemas.openxmlformats.org/markup-compatibility/2006">
      <mc:Choice Requires="x14">
        <control shapeId="1028" r:id="rId9" name="CommandButton4">
          <controlPr defaultSize="0" autoLine="0" r:id="rId10">
            <anchor moveWithCells="1">
              <from>
                <xdr:col>8</xdr:col>
                <xdr:colOff>22860</xdr:colOff>
                <xdr:row>14</xdr:row>
                <xdr:rowOff>30480</xdr:rowOff>
              </from>
              <to>
                <xdr:col>9</xdr:col>
                <xdr:colOff>762000</xdr:colOff>
                <xdr:row>16</xdr:row>
                <xdr:rowOff>83820</xdr:rowOff>
              </to>
            </anchor>
          </controlPr>
        </control>
      </mc:Choice>
      <mc:Fallback>
        <control shapeId="1028" r:id="rId9" name="CommandButton4"/>
      </mc:Fallback>
    </mc:AlternateContent>
    <mc:AlternateContent xmlns:mc="http://schemas.openxmlformats.org/markup-compatibility/2006">
      <mc:Choice Requires="x14">
        <control shapeId="1031" r:id="rId11" name="CommandButton5">
          <controlPr defaultSize="0" autoLine="0" r:id="rId12">
            <anchor moveWithCells="1">
              <from>
                <xdr:col>14</xdr:col>
                <xdr:colOff>403860</xdr:colOff>
                <xdr:row>15</xdr:row>
                <xdr:rowOff>91440</xdr:rowOff>
              </from>
              <to>
                <xdr:col>16</xdr:col>
                <xdr:colOff>68580</xdr:colOff>
                <xdr:row>17</xdr:row>
                <xdr:rowOff>144780</xdr:rowOff>
              </to>
            </anchor>
          </controlPr>
        </control>
      </mc:Choice>
      <mc:Fallback>
        <control shapeId="1031" r:id="rId11" name="CommandButton5"/>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C9D970-53C0-4D34-96E1-D39546B44012}">
  <sheetPr codeName="Sheet2"/>
  <dimension ref="A1:K85"/>
  <sheetViews>
    <sheetView tabSelected="1" workbookViewId="0">
      <selection activeCell="N8" sqref="N8"/>
    </sheetView>
  </sheetViews>
  <sheetFormatPr defaultRowHeight="14.4" x14ac:dyDescent="0.3"/>
  <cols>
    <col min="1" max="1" width="13.44140625" style="1" customWidth="1"/>
    <col min="2" max="2" width="15" style="1" customWidth="1"/>
    <col min="3" max="3" width="16.88671875" style="1" customWidth="1"/>
    <col min="4" max="4" width="19.109375" style="1" customWidth="1"/>
    <col min="5" max="5" width="13.109375" style="1" customWidth="1"/>
    <col min="6" max="6" width="11.88671875" customWidth="1"/>
  </cols>
  <sheetData>
    <row r="1" spans="1:11" s="5" customFormat="1" ht="15.6" x14ac:dyDescent="0.3">
      <c r="A1" s="7" t="s">
        <v>6</v>
      </c>
      <c r="B1" s="7" t="s">
        <v>0</v>
      </c>
      <c r="C1" s="7" t="s">
        <v>1</v>
      </c>
      <c r="D1" s="7" t="s">
        <v>7</v>
      </c>
      <c r="E1" s="7" t="s">
        <v>8</v>
      </c>
      <c r="F1" s="8" t="s">
        <v>2</v>
      </c>
      <c r="G1" s="8" t="s">
        <v>214</v>
      </c>
      <c r="H1" s="8" t="s">
        <v>215</v>
      </c>
      <c r="I1" s="8" t="s">
        <v>216</v>
      </c>
      <c r="J1" s="8"/>
      <c r="K1" s="8"/>
    </row>
    <row r="2" spans="1:11" x14ac:dyDescent="0.3">
      <c r="A2" s="9">
        <v>46027</v>
      </c>
      <c r="B2" s="10" t="s">
        <v>9</v>
      </c>
      <c r="C2" s="10" t="s">
        <v>10</v>
      </c>
      <c r="D2" s="10" t="s">
        <v>12</v>
      </c>
      <c r="E2" s="10">
        <v>10</v>
      </c>
      <c r="F2" s="11" t="s">
        <v>11</v>
      </c>
      <c r="G2" s="11">
        <f>IF(COUNTA(A2) = 1, DAY(A2)," ")</f>
        <v>5</v>
      </c>
      <c r="H2" s="11">
        <f>IF(COUNTA(A2) = 1, MONTH(A2)," ")</f>
        <v>1</v>
      </c>
      <c r="I2" s="11">
        <f>IF(COUNTA(A2) = 1, YEAR(A2)," ")</f>
        <v>2026</v>
      </c>
      <c r="J2" s="11"/>
      <c r="K2" s="11"/>
    </row>
    <row r="3" spans="1:11" x14ac:dyDescent="0.3">
      <c r="A3" s="9">
        <v>46027</v>
      </c>
      <c r="B3" s="10" t="s">
        <v>14</v>
      </c>
      <c r="C3" s="10" t="s">
        <v>15</v>
      </c>
      <c r="D3" s="10" t="s">
        <v>12</v>
      </c>
      <c r="E3" s="10">
        <v>20</v>
      </c>
      <c r="F3" s="11" t="s">
        <v>16</v>
      </c>
      <c r="G3" s="11">
        <f t="shared" ref="G3:G41" si="0">IF(COUNTA(A3) = 1, DAY(A3)," ")</f>
        <v>5</v>
      </c>
      <c r="H3" s="11">
        <f t="shared" ref="H3:H41" si="1">IF(COUNTA(A3) = 1, MONTH(A3)," ")</f>
        <v>1</v>
      </c>
      <c r="I3" s="11">
        <f t="shared" ref="I3:I41" si="2">IF(COUNTA(A3) = 1, YEAR(A3)," ")</f>
        <v>2026</v>
      </c>
      <c r="J3" s="11"/>
      <c r="K3" s="11"/>
    </row>
    <row r="4" spans="1:11" x14ac:dyDescent="0.3">
      <c r="A4" s="9">
        <v>46027</v>
      </c>
      <c r="B4" s="10" t="s">
        <v>14</v>
      </c>
      <c r="C4" s="10" t="s">
        <v>15</v>
      </c>
      <c r="D4" s="10" t="s">
        <v>12</v>
      </c>
      <c r="E4" s="10">
        <v>25</v>
      </c>
      <c r="F4" s="11" t="s">
        <v>16</v>
      </c>
      <c r="G4" s="11">
        <f t="shared" si="0"/>
        <v>5</v>
      </c>
      <c r="H4" s="11">
        <f t="shared" si="1"/>
        <v>1</v>
      </c>
      <c r="I4" s="11">
        <f t="shared" si="2"/>
        <v>2026</v>
      </c>
      <c r="J4" s="11"/>
      <c r="K4" s="11"/>
    </row>
    <row r="5" spans="1:11" x14ac:dyDescent="0.3">
      <c r="A5" s="9">
        <v>46027</v>
      </c>
      <c r="B5" s="10" t="s">
        <v>14</v>
      </c>
      <c r="C5" s="10" t="s">
        <v>15</v>
      </c>
      <c r="D5" s="10" t="s">
        <v>17</v>
      </c>
      <c r="E5" s="10">
        <v>5</v>
      </c>
      <c r="F5" s="11" t="s">
        <v>16</v>
      </c>
      <c r="G5" s="11">
        <f t="shared" si="0"/>
        <v>5</v>
      </c>
      <c r="H5" s="11">
        <f t="shared" si="1"/>
        <v>1</v>
      </c>
      <c r="I5" s="11">
        <f t="shared" si="2"/>
        <v>2026</v>
      </c>
      <c r="J5" s="11"/>
      <c r="K5" s="11"/>
    </row>
    <row r="6" spans="1:11" x14ac:dyDescent="0.3">
      <c r="A6" s="9">
        <v>46027</v>
      </c>
      <c r="B6" s="10" t="s">
        <v>14</v>
      </c>
      <c r="C6" s="10" t="s">
        <v>15</v>
      </c>
      <c r="D6" s="10" t="s">
        <v>17</v>
      </c>
      <c r="E6" s="10">
        <v>2</v>
      </c>
      <c r="F6" s="11" t="s">
        <v>16</v>
      </c>
      <c r="G6" s="11">
        <f t="shared" si="0"/>
        <v>5</v>
      </c>
      <c r="H6" s="11">
        <f t="shared" si="1"/>
        <v>1</v>
      </c>
      <c r="I6" s="11">
        <f t="shared" si="2"/>
        <v>2026</v>
      </c>
      <c r="J6" s="11"/>
      <c r="K6" s="11"/>
    </row>
    <row r="7" spans="1:11" x14ac:dyDescent="0.3">
      <c r="A7" s="9">
        <v>46027</v>
      </c>
      <c r="B7" s="10" t="s">
        <v>14</v>
      </c>
      <c r="C7" s="10" t="s">
        <v>15</v>
      </c>
      <c r="D7" s="10" t="s">
        <v>17</v>
      </c>
      <c r="E7" s="10">
        <v>5</v>
      </c>
      <c r="F7" s="11" t="s">
        <v>16</v>
      </c>
      <c r="G7" s="11">
        <f t="shared" si="0"/>
        <v>5</v>
      </c>
      <c r="H7" s="11">
        <f t="shared" si="1"/>
        <v>1</v>
      </c>
      <c r="I7" s="11">
        <f t="shared" si="2"/>
        <v>2026</v>
      </c>
      <c r="J7" s="11"/>
      <c r="K7" s="11"/>
    </row>
    <row r="8" spans="1:11" x14ac:dyDescent="0.3">
      <c r="A8" s="9">
        <v>46027</v>
      </c>
      <c r="B8" s="10" t="s">
        <v>14</v>
      </c>
      <c r="C8" s="10" t="s">
        <v>15</v>
      </c>
      <c r="D8" s="10" t="s">
        <v>17</v>
      </c>
      <c r="E8" s="10">
        <v>5</v>
      </c>
      <c r="F8" s="11" t="s">
        <v>16</v>
      </c>
      <c r="G8" s="11">
        <f t="shared" si="0"/>
        <v>5</v>
      </c>
      <c r="H8" s="11">
        <f t="shared" si="1"/>
        <v>1</v>
      </c>
      <c r="I8" s="11">
        <f t="shared" si="2"/>
        <v>2026</v>
      </c>
      <c r="J8" s="11"/>
      <c r="K8" s="11"/>
    </row>
    <row r="9" spans="1:11" x14ac:dyDescent="0.3">
      <c r="A9" s="9">
        <v>46027</v>
      </c>
      <c r="B9" s="10" t="s">
        <v>14</v>
      </c>
      <c r="C9" s="10" t="s">
        <v>15</v>
      </c>
      <c r="D9" s="10" t="s">
        <v>12</v>
      </c>
      <c r="E9" s="10">
        <v>25</v>
      </c>
      <c r="F9" s="11" t="s">
        <v>16</v>
      </c>
      <c r="G9" s="11">
        <f t="shared" si="0"/>
        <v>5</v>
      </c>
      <c r="H9" s="11">
        <f t="shared" si="1"/>
        <v>1</v>
      </c>
      <c r="I9" s="11">
        <f t="shared" si="2"/>
        <v>2026</v>
      </c>
      <c r="J9" s="11"/>
      <c r="K9" s="11"/>
    </row>
    <row r="10" spans="1:11" x14ac:dyDescent="0.3">
      <c r="A10" s="9">
        <v>46029</v>
      </c>
      <c r="B10" s="10" t="s">
        <v>25</v>
      </c>
      <c r="C10" s="10" t="s">
        <v>26</v>
      </c>
      <c r="D10" s="10" t="s">
        <v>12</v>
      </c>
      <c r="E10" s="10">
        <v>20</v>
      </c>
      <c r="F10" s="11" t="s">
        <v>11</v>
      </c>
      <c r="G10" s="11">
        <f t="shared" si="0"/>
        <v>7</v>
      </c>
      <c r="H10" s="11">
        <f t="shared" si="1"/>
        <v>1</v>
      </c>
      <c r="I10" s="11">
        <f t="shared" si="2"/>
        <v>2026</v>
      </c>
      <c r="J10" s="11"/>
      <c r="K10" s="11"/>
    </row>
    <row r="11" spans="1:11" x14ac:dyDescent="0.3">
      <c r="A11" s="9">
        <v>46029</v>
      </c>
      <c r="B11" s="10" t="s">
        <v>14</v>
      </c>
      <c r="C11" s="10" t="s">
        <v>15</v>
      </c>
      <c r="D11" s="10" t="s">
        <v>17</v>
      </c>
      <c r="E11" s="10">
        <v>5</v>
      </c>
      <c r="F11" s="11" t="s">
        <v>16</v>
      </c>
      <c r="G11" s="11">
        <f t="shared" si="0"/>
        <v>7</v>
      </c>
      <c r="H11" s="11">
        <f t="shared" si="1"/>
        <v>1</v>
      </c>
      <c r="I11" s="11">
        <f t="shared" si="2"/>
        <v>2026</v>
      </c>
      <c r="J11" s="11"/>
      <c r="K11" s="11"/>
    </row>
    <row r="12" spans="1:11" x14ac:dyDescent="0.3">
      <c r="A12" s="9">
        <v>46030</v>
      </c>
      <c r="B12" s="10" t="s">
        <v>9</v>
      </c>
      <c r="C12" s="10" t="s">
        <v>27</v>
      </c>
      <c r="D12" s="10" t="s">
        <v>12</v>
      </c>
      <c r="E12" s="10">
        <v>45</v>
      </c>
      <c r="F12" s="11" t="s">
        <v>11</v>
      </c>
      <c r="G12" s="11">
        <f t="shared" si="0"/>
        <v>8</v>
      </c>
      <c r="H12" s="11">
        <f t="shared" si="1"/>
        <v>1</v>
      </c>
      <c r="I12" s="11">
        <f t="shared" si="2"/>
        <v>2026</v>
      </c>
      <c r="J12" s="11"/>
      <c r="K12" s="11"/>
    </row>
    <row r="13" spans="1:11" x14ac:dyDescent="0.3">
      <c r="A13" s="9">
        <v>46030</v>
      </c>
      <c r="B13" s="10" t="s">
        <v>186</v>
      </c>
      <c r="C13" s="10" t="s">
        <v>28</v>
      </c>
      <c r="D13" s="10" t="s">
        <v>12</v>
      </c>
      <c r="E13" s="10">
        <v>20</v>
      </c>
      <c r="F13" s="11" t="s">
        <v>11</v>
      </c>
      <c r="G13" s="11">
        <f t="shared" si="0"/>
        <v>8</v>
      </c>
      <c r="H13" s="11">
        <f t="shared" si="1"/>
        <v>1</v>
      </c>
      <c r="I13" s="11">
        <f t="shared" si="2"/>
        <v>2026</v>
      </c>
      <c r="J13" s="11"/>
      <c r="K13" s="11"/>
    </row>
    <row r="14" spans="1:11" x14ac:dyDescent="0.3">
      <c r="A14" s="9">
        <v>46030</v>
      </c>
      <c r="B14" s="10" t="s">
        <v>187</v>
      </c>
      <c r="C14" s="10" t="s">
        <v>27</v>
      </c>
      <c r="D14" s="10" t="s">
        <v>12</v>
      </c>
      <c r="E14" s="10">
        <v>20</v>
      </c>
      <c r="F14" s="11" t="s">
        <v>11</v>
      </c>
      <c r="G14" s="11">
        <f t="shared" si="0"/>
        <v>8</v>
      </c>
      <c r="H14" s="11">
        <f t="shared" si="1"/>
        <v>1</v>
      </c>
      <c r="I14" s="11">
        <f t="shared" si="2"/>
        <v>2026</v>
      </c>
      <c r="J14" s="11"/>
      <c r="K14" s="11"/>
    </row>
    <row r="15" spans="1:11" x14ac:dyDescent="0.3">
      <c r="A15" s="9">
        <v>46030</v>
      </c>
      <c r="B15" s="10" t="s">
        <v>187</v>
      </c>
      <c r="C15" s="10" t="s">
        <v>27</v>
      </c>
      <c r="D15" s="10" t="s">
        <v>17</v>
      </c>
      <c r="E15" s="10">
        <v>5</v>
      </c>
      <c r="F15" s="11" t="s">
        <v>11</v>
      </c>
      <c r="G15" s="11">
        <f t="shared" si="0"/>
        <v>8</v>
      </c>
      <c r="H15" s="11">
        <f t="shared" si="1"/>
        <v>1</v>
      </c>
      <c r="I15" s="11">
        <f t="shared" si="2"/>
        <v>2026</v>
      </c>
      <c r="J15" s="11"/>
      <c r="K15" s="11"/>
    </row>
    <row r="16" spans="1:11" x14ac:dyDescent="0.3">
      <c r="A16" s="9">
        <v>46030</v>
      </c>
      <c r="B16" s="10" t="s">
        <v>188</v>
      </c>
      <c r="C16" s="10" t="s">
        <v>189</v>
      </c>
      <c r="D16" s="10" t="s">
        <v>12</v>
      </c>
      <c r="E16" s="10">
        <v>20</v>
      </c>
      <c r="F16" s="11" t="s">
        <v>16</v>
      </c>
      <c r="G16" s="11">
        <f t="shared" si="0"/>
        <v>8</v>
      </c>
      <c r="H16" s="11">
        <f t="shared" si="1"/>
        <v>1</v>
      </c>
      <c r="I16" s="11">
        <f t="shared" si="2"/>
        <v>2026</v>
      </c>
      <c r="J16" s="11"/>
      <c r="K16" s="11"/>
    </row>
    <row r="17" spans="1:11" x14ac:dyDescent="0.3">
      <c r="A17" s="9">
        <v>46030</v>
      </c>
      <c r="B17" s="10" t="s">
        <v>188</v>
      </c>
      <c r="C17" s="10" t="s">
        <v>189</v>
      </c>
      <c r="D17" s="10" t="s">
        <v>17</v>
      </c>
      <c r="E17" s="10">
        <v>5</v>
      </c>
      <c r="F17" s="11" t="s">
        <v>16</v>
      </c>
      <c r="G17" s="11">
        <f t="shared" si="0"/>
        <v>8</v>
      </c>
      <c r="H17" s="11">
        <f t="shared" si="1"/>
        <v>1</v>
      </c>
      <c r="I17" s="11">
        <f t="shared" si="2"/>
        <v>2026</v>
      </c>
      <c r="J17" s="11"/>
      <c r="K17" s="11"/>
    </row>
    <row r="18" spans="1:11" x14ac:dyDescent="0.3">
      <c r="A18" s="9">
        <v>46030</v>
      </c>
      <c r="B18" s="10" t="s">
        <v>190</v>
      </c>
      <c r="C18" s="10" t="s">
        <v>191</v>
      </c>
      <c r="D18" s="10" t="s">
        <v>12</v>
      </c>
      <c r="E18" s="10">
        <v>6</v>
      </c>
      <c r="F18" s="11" t="s">
        <v>11</v>
      </c>
      <c r="G18" s="11">
        <f t="shared" si="0"/>
        <v>8</v>
      </c>
      <c r="H18" s="11">
        <f t="shared" si="1"/>
        <v>1</v>
      </c>
      <c r="I18" s="11">
        <f t="shared" si="2"/>
        <v>2026</v>
      </c>
      <c r="J18" s="11"/>
      <c r="K18" s="11"/>
    </row>
    <row r="19" spans="1:11" x14ac:dyDescent="0.3">
      <c r="A19" s="9">
        <v>46030</v>
      </c>
      <c r="B19" s="10" t="s">
        <v>190</v>
      </c>
      <c r="C19" s="10" t="s">
        <v>26</v>
      </c>
      <c r="D19" s="10" t="s">
        <v>12</v>
      </c>
      <c r="E19" s="10">
        <v>50</v>
      </c>
      <c r="F19" s="11" t="s">
        <v>11</v>
      </c>
      <c r="G19" s="11">
        <f t="shared" si="0"/>
        <v>8</v>
      </c>
      <c r="H19" s="11">
        <f t="shared" si="1"/>
        <v>1</v>
      </c>
      <c r="I19" s="11">
        <f t="shared" si="2"/>
        <v>2026</v>
      </c>
      <c r="J19" s="11"/>
      <c r="K19" s="11"/>
    </row>
    <row r="20" spans="1:11" x14ac:dyDescent="0.3">
      <c r="A20" s="9">
        <v>46031</v>
      </c>
      <c r="B20" s="10" t="s">
        <v>186</v>
      </c>
      <c r="C20" s="10" t="s">
        <v>28</v>
      </c>
      <c r="D20" s="10" t="s">
        <v>17</v>
      </c>
      <c r="E20" s="10">
        <v>1</v>
      </c>
      <c r="F20" s="11" t="s">
        <v>11</v>
      </c>
      <c r="G20" s="11">
        <f t="shared" si="0"/>
        <v>9</v>
      </c>
      <c r="H20" s="11">
        <f t="shared" si="1"/>
        <v>1</v>
      </c>
      <c r="I20" s="11">
        <f t="shared" si="2"/>
        <v>2026</v>
      </c>
      <c r="J20" s="11"/>
      <c r="K20" s="11"/>
    </row>
    <row r="21" spans="1:11" x14ac:dyDescent="0.3">
      <c r="A21" s="9">
        <v>46031</v>
      </c>
      <c r="B21" s="10" t="s">
        <v>9</v>
      </c>
      <c r="C21" s="10" t="s">
        <v>27</v>
      </c>
      <c r="D21" s="10" t="s">
        <v>17</v>
      </c>
      <c r="E21" s="10">
        <v>5</v>
      </c>
      <c r="F21" s="11" t="s">
        <v>11</v>
      </c>
      <c r="G21" s="11">
        <f t="shared" si="0"/>
        <v>9</v>
      </c>
      <c r="H21" s="11">
        <f t="shared" si="1"/>
        <v>1</v>
      </c>
      <c r="I21" s="11">
        <f t="shared" si="2"/>
        <v>2026</v>
      </c>
      <c r="J21" s="11"/>
      <c r="K21" s="11"/>
    </row>
    <row r="22" spans="1:11" x14ac:dyDescent="0.3">
      <c r="A22" s="9">
        <v>46032</v>
      </c>
      <c r="B22" s="10" t="s">
        <v>217</v>
      </c>
      <c r="C22" s="10" t="s">
        <v>218</v>
      </c>
      <c r="D22" s="10" t="s">
        <v>12</v>
      </c>
      <c r="E22" s="10">
        <v>200</v>
      </c>
      <c r="F22" s="11" t="s">
        <v>66</v>
      </c>
      <c r="G22" s="11">
        <f t="shared" si="0"/>
        <v>10</v>
      </c>
      <c r="H22" s="11">
        <f t="shared" si="1"/>
        <v>1</v>
      </c>
      <c r="I22" s="11">
        <f t="shared" si="2"/>
        <v>2026</v>
      </c>
      <c r="J22" s="11"/>
      <c r="K22" s="11"/>
    </row>
    <row r="23" spans="1:11" x14ac:dyDescent="0.3">
      <c r="A23" s="9">
        <v>46032</v>
      </c>
      <c r="B23" s="10" t="s">
        <v>217</v>
      </c>
      <c r="C23" s="10" t="s">
        <v>218</v>
      </c>
      <c r="D23" s="10" t="s">
        <v>12</v>
      </c>
      <c r="E23" s="10">
        <v>200</v>
      </c>
      <c r="F23" s="11" t="s">
        <v>66</v>
      </c>
      <c r="G23" s="11">
        <f t="shared" si="0"/>
        <v>10</v>
      </c>
      <c r="H23" s="11">
        <f t="shared" si="1"/>
        <v>1</v>
      </c>
      <c r="I23" s="11">
        <f t="shared" si="2"/>
        <v>2026</v>
      </c>
      <c r="J23" s="11"/>
      <c r="K23" s="11"/>
    </row>
    <row r="24" spans="1:11" x14ac:dyDescent="0.3">
      <c r="A24" s="9">
        <v>46032</v>
      </c>
      <c r="B24" s="10" t="s">
        <v>67</v>
      </c>
      <c r="C24" s="10" t="s">
        <v>68</v>
      </c>
      <c r="D24" s="10" t="s">
        <v>12</v>
      </c>
      <c r="E24" s="10">
        <v>15</v>
      </c>
      <c r="F24" s="11" t="s">
        <v>66</v>
      </c>
      <c r="G24" s="11">
        <f t="shared" si="0"/>
        <v>10</v>
      </c>
      <c r="H24" s="11">
        <f t="shared" si="1"/>
        <v>1</v>
      </c>
      <c r="I24" s="11">
        <f t="shared" si="2"/>
        <v>2026</v>
      </c>
      <c r="J24" s="11"/>
      <c r="K24" s="11"/>
    </row>
    <row r="25" spans="1:11" x14ac:dyDescent="0.3">
      <c r="A25" s="9">
        <v>46032</v>
      </c>
      <c r="B25" s="10" t="s">
        <v>69</v>
      </c>
      <c r="C25" s="10" t="s">
        <v>70</v>
      </c>
      <c r="D25" s="10" t="s">
        <v>12</v>
      </c>
      <c r="E25" s="10">
        <v>22</v>
      </c>
      <c r="F25" s="11" t="s">
        <v>66</v>
      </c>
      <c r="G25" s="11">
        <f>IF(COUNTA(A25) = 1, DAY(A25)," ")</f>
        <v>10</v>
      </c>
      <c r="H25" s="11">
        <f t="shared" si="1"/>
        <v>1</v>
      </c>
      <c r="I25" s="11">
        <f t="shared" si="2"/>
        <v>2026</v>
      </c>
      <c r="J25" s="11"/>
      <c r="K25" s="11"/>
    </row>
    <row r="26" spans="1:11" x14ac:dyDescent="0.3">
      <c r="A26" s="9">
        <v>46032</v>
      </c>
      <c r="B26" s="10" t="s">
        <v>71</v>
      </c>
      <c r="C26" s="10" t="s">
        <v>72</v>
      </c>
      <c r="D26" s="10" t="s">
        <v>12</v>
      </c>
      <c r="E26" s="10">
        <v>12</v>
      </c>
      <c r="F26" s="11" t="s">
        <v>66</v>
      </c>
      <c r="G26" s="11">
        <f t="shared" si="0"/>
        <v>10</v>
      </c>
      <c r="H26" s="11">
        <f t="shared" si="1"/>
        <v>1</v>
      </c>
      <c r="I26" s="11">
        <f t="shared" si="2"/>
        <v>2026</v>
      </c>
      <c r="J26" s="11"/>
      <c r="K26" s="11"/>
    </row>
    <row r="27" spans="1:11" x14ac:dyDescent="0.3">
      <c r="A27" s="9">
        <v>46032</v>
      </c>
      <c r="B27" s="10" t="s">
        <v>71</v>
      </c>
      <c r="C27" s="10" t="s">
        <v>72</v>
      </c>
      <c r="D27" s="10" t="s">
        <v>12</v>
      </c>
      <c r="E27" s="10">
        <v>2</v>
      </c>
      <c r="F27" s="11" t="s">
        <v>66</v>
      </c>
      <c r="G27" s="11">
        <f t="shared" si="0"/>
        <v>10</v>
      </c>
      <c r="H27" s="11">
        <f t="shared" si="1"/>
        <v>1</v>
      </c>
      <c r="I27" s="11">
        <f t="shared" si="2"/>
        <v>2026</v>
      </c>
      <c r="J27" s="11"/>
      <c r="K27" s="11"/>
    </row>
    <row r="28" spans="1:11" x14ac:dyDescent="0.3">
      <c r="A28" s="9">
        <v>46032</v>
      </c>
      <c r="B28" s="10" t="s">
        <v>69</v>
      </c>
      <c r="C28" s="10" t="s">
        <v>70</v>
      </c>
      <c r="D28" s="10" t="s">
        <v>12</v>
      </c>
      <c r="E28" s="10">
        <v>25</v>
      </c>
      <c r="F28" s="11" t="s">
        <v>66</v>
      </c>
      <c r="G28" s="11">
        <f>IF(COUNTA(A28) = 1, DAY(A28)," ")</f>
        <v>10</v>
      </c>
      <c r="H28" s="11">
        <f t="shared" si="1"/>
        <v>1</v>
      </c>
      <c r="I28" s="11">
        <f t="shared" si="2"/>
        <v>2026</v>
      </c>
      <c r="J28" s="11"/>
      <c r="K28" s="11"/>
    </row>
    <row r="29" spans="1:11" x14ac:dyDescent="0.3">
      <c r="A29" s="9">
        <v>46032</v>
      </c>
      <c r="B29" s="10" t="s">
        <v>71</v>
      </c>
      <c r="C29" s="10" t="s">
        <v>72</v>
      </c>
      <c r="D29" s="10" t="s">
        <v>12</v>
      </c>
      <c r="E29" s="10">
        <v>5</v>
      </c>
      <c r="F29" s="11" t="s">
        <v>66</v>
      </c>
      <c r="G29" s="11">
        <f t="shared" si="0"/>
        <v>10</v>
      </c>
      <c r="H29" s="11">
        <f t="shared" si="1"/>
        <v>1</v>
      </c>
      <c r="I29" s="11">
        <f t="shared" si="2"/>
        <v>2026</v>
      </c>
      <c r="J29" s="11"/>
      <c r="K29" s="11"/>
    </row>
    <row r="30" spans="1:11" x14ac:dyDescent="0.3">
      <c r="A30" s="9">
        <v>46032</v>
      </c>
      <c r="B30" s="10" t="s">
        <v>217</v>
      </c>
      <c r="C30" s="10" t="s">
        <v>218</v>
      </c>
      <c r="D30" s="10" t="s">
        <v>12</v>
      </c>
      <c r="E30" s="10">
        <v>12</v>
      </c>
      <c r="F30" s="11" t="s">
        <v>66</v>
      </c>
      <c r="G30" s="11">
        <f t="shared" si="0"/>
        <v>10</v>
      </c>
      <c r="H30" s="11">
        <f t="shared" si="1"/>
        <v>1</v>
      </c>
      <c r="I30" s="11">
        <f t="shared" si="2"/>
        <v>2026</v>
      </c>
      <c r="J30" s="11"/>
      <c r="K30" s="11"/>
    </row>
    <row r="31" spans="1:11" x14ac:dyDescent="0.3">
      <c r="A31" s="9">
        <v>46032</v>
      </c>
      <c r="B31" s="10" t="s">
        <v>217</v>
      </c>
      <c r="C31" s="10" t="s">
        <v>218</v>
      </c>
      <c r="D31" s="10" t="s">
        <v>12</v>
      </c>
      <c r="E31" s="10">
        <v>100</v>
      </c>
      <c r="F31" s="11" t="s">
        <v>66</v>
      </c>
      <c r="G31" s="11">
        <f t="shared" si="0"/>
        <v>10</v>
      </c>
      <c r="H31" s="11">
        <f t="shared" si="1"/>
        <v>1</v>
      </c>
      <c r="I31" s="11">
        <f t="shared" si="2"/>
        <v>2026</v>
      </c>
      <c r="J31" s="11"/>
      <c r="K31" s="11"/>
    </row>
    <row r="32" spans="1:11" x14ac:dyDescent="0.3">
      <c r="A32" s="9">
        <v>46032</v>
      </c>
      <c r="B32" s="10" t="s">
        <v>199</v>
      </c>
      <c r="C32" s="10" t="s">
        <v>200</v>
      </c>
      <c r="D32" s="10" t="s">
        <v>12</v>
      </c>
      <c r="E32" s="10">
        <v>12</v>
      </c>
      <c r="F32" s="11" t="s">
        <v>11</v>
      </c>
      <c r="G32" s="11">
        <f t="shared" si="0"/>
        <v>10</v>
      </c>
      <c r="H32" s="11">
        <f t="shared" si="1"/>
        <v>1</v>
      </c>
      <c r="I32" s="11">
        <f t="shared" si="2"/>
        <v>2026</v>
      </c>
      <c r="J32" s="11"/>
      <c r="K32" s="11"/>
    </row>
    <row r="33" spans="1:11" x14ac:dyDescent="0.3">
      <c r="A33" s="9">
        <v>46032</v>
      </c>
      <c r="B33" s="10" t="s">
        <v>223</v>
      </c>
      <c r="C33" s="10" t="s">
        <v>224</v>
      </c>
      <c r="D33" s="10" t="s">
        <v>12</v>
      </c>
      <c r="E33" s="10">
        <v>14</v>
      </c>
      <c r="F33" s="11" t="s">
        <v>11</v>
      </c>
      <c r="G33" s="11">
        <f t="shared" si="0"/>
        <v>10</v>
      </c>
      <c r="H33" s="11">
        <f t="shared" si="1"/>
        <v>1</v>
      </c>
      <c r="I33" s="11">
        <f t="shared" si="2"/>
        <v>2026</v>
      </c>
      <c r="J33" s="11"/>
      <c r="K33" s="11"/>
    </row>
    <row r="34" spans="1:11" x14ac:dyDescent="0.3">
      <c r="A34" s="9">
        <v>46032</v>
      </c>
      <c r="B34" s="10" t="s">
        <v>228</v>
      </c>
      <c r="C34" s="10" t="s">
        <v>72</v>
      </c>
      <c r="D34" s="10" t="s">
        <v>17</v>
      </c>
      <c r="E34" s="10">
        <v>15</v>
      </c>
      <c r="F34" s="11" t="s">
        <v>66</v>
      </c>
      <c r="G34" s="11">
        <f t="shared" si="0"/>
        <v>10</v>
      </c>
      <c r="H34" s="11">
        <f>IF(COUNTA(A34) = 1, MONTH(A34)," ")</f>
        <v>1</v>
      </c>
      <c r="I34" s="11">
        <f t="shared" si="2"/>
        <v>2026</v>
      </c>
      <c r="J34" s="11"/>
      <c r="K34" s="11"/>
    </row>
    <row r="35" spans="1:11" x14ac:dyDescent="0.3">
      <c r="A35" s="9">
        <v>46032</v>
      </c>
      <c r="B35" s="10" t="s">
        <v>230</v>
      </c>
      <c r="C35" s="10" t="s">
        <v>224</v>
      </c>
      <c r="D35" s="10" t="s">
        <v>12</v>
      </c>
      <c r="E35" s="10">
        <v>20</v>
      </c>
      <c r="F35" s="11" t="s">
        <v>11</v>
      </c>
      <c r="G35" s="11">
        <f t="shared" si="0"/>
        <v>10</v>
      </c>
      <c r="H35" s="11">
        <f t="shared" si="1"/>
        <v>1</v>
      </c>
      <c r="I35" s="11">
        <f t="shared" si="2"/>
        <v>2026</v>
      </c>
      <c r="J35" s="11"/>
      <c r="K35" s="11"/>
    </row>
    <row r="36" spans="1:11" x14ac:dyDescent="0.3">
      <c r="A36" s="9">
        <v>46032</v>
      </c>
      <c r="B36" s="10" t="s">
        <v>25</v>
      </c>
      <c r="C36" s="10" t="s">
        <v>29</v>
      </c>
      <c r="D36" s="10" t="s">
        <v>17</v>
      </c>
      <c r="E36" s="10">
        <v>10</v>
      </c>
      <c r="F36" s="11" t="s">
        <v>11</v>
      </c>
      <c r="G36" s="11">
        <f t="shared" si="0"/>
        <v>10</v>
      </c>
      <c r="H36" s="11">
        <f t="shared" si="1"/>
        <v>1</v>
      </c>
      <c r="I36" s="11">
        <f t="shared" si="2"/>
        <v>2026</v>
      </c>
      <c r="J36" s="11"/>
      <c r="K36" s="11"/>
    </row>
    <row r="37" spans="1:11" x14ac:dyDescent="0.3">
      <c r="A37" s="9">
        <v>46032</v>
      </c>
      <c r="B37" s="10" t="s">
        <v>25</v>
      </c>
      <c r="C37" s="10" t="s">
        <v>29</v>
      </c>
      <c r="D37" s="10" t="s">
        <v>17</v>
      </c>
      <c r="E37" s="10">
        <v>5</v>
      </c>
      <c r="F37" s="11" t="s">
        <v>11</v>
      </c>
      <c r="G37" s="11">
        <f t="shared" si="0"/>
        <v>10</v>
      </c>
      <c r="H37" s="11">
        <f t="shared" si="1"/>
        <v>1</v>
      </c>
      <c r="I37" s="11">
        <f t="shared" si="2"/>
        <v>2026</v>
      </c>
      <c r="J37" s="11"/>
      <c r="K37" s="11"/>
    </row>
    <row r="38" spans="1:11" x14ac:dyDescent="0.3">
      <c r="G38" s="11" t="str">
        <f t="shared" si="0"/>
        <v xml:space="preserve"> </v>
      </c>
      <c r="H38" s="11" t="str">
        <f t="shared" si="1"/>
        <v xml:space="preserve"> </v>
      </c>
      <c r="I38" s="11" t="str">
        <f t="shared" si="2"/>
        <v xml:space="preserve"> </v>
      </c>
      <c r="J38" s="11"/>
      <c r="K38" s="11"/>
    </row>
    <row r="39" spans="1:11" x14ac:dyDescent="0.3">
      <c r="G39" s="11" t="str">
        <f t="shared" si="0"/>
        <v xml:space="preserve"> </v>
      </c>
      <c r="H39" s="11" t="str">
        <f t="shared" si="1"/>
        <v xml:space="preserve"> </v>
      </c>
      <c r="I39" s="11" t="str">
        <f t="shared" si="2"/>
        <v xml:space="preserve"> </v>
      </c>
      <c r="J39" s="11"/>
      <c r="K39" s="11"/>
    </row>
    <row r="40" spans="1:11" x14ac:dyDescent="0.3">
      <c r="G40" s="11" t="str">
        <f t="shared" si="0"/>
        <v xml:space="preserve"> </v>
      </c>
      <c r="H40" s="11" t="str">
        <f t="shared" si="1"/>
        <v xml:space="preserve"> </v>
      </c>
      <c r="I40" s="11" t="str">
        <f t="shared" si="2"/>
        <v xml:space="preserve"> </v>
      </c>
      <c r="J40" s="11"/>
      <c r="K40" s="11"/>
    </row>
    <row r="41" spans="1:11" x14ac:dyDescent="0.3">
      <c r="G41" s="11" t="str">
        <f t="shared" si="0"/>
        <v xml:space="preserve"> </v>
      </c>
      <c r="H41" s="11" t="str">
        <f t="shared" si="1"/>
        <v xml:space="preserve"> </v>
      </c>
      <c r="I41" s="11" t="str">
        <f t="shared" si="2"/>
        <v xml:space="preserve"> </v>
      </c>
      <c r="J41" s="11"/>
      <c r="K41" s="11"/>
    </row>
    <row r="42" spans="1:11" x14ac:dyDescent="0.3">
      <c r="G42" s="11"/>
      <c r="H42" s="11"/>
      <c r="I42" s="11"/>
      <c r="J42" s="11"/>
      <c r="K42" s="11"/>
    </row>
    <row r="43" spans="1:11" x14ac:dyDescent="0.3">
      <c r="G43" s="11"/>
      <c r="H43" s="11"/>
      <c r="I43" s="11"/>
      <c r="J43" s="11"/>
      <c r="K43" s="11"/>
    </row>
    <row r="44" spans="1:11" x14ac:dyDescent="0.3">
      <c r="G44" s="11"/>
      <c r="H44" s="11"/>
      <c r="I44" s="11"/>
      <c r="J44" s="11"/>
      <c r="K44" s="11"/>
    </row>
    <row r="45" spans="1:11" x14ac:dyDescent="0.3">
      <c r="G45" s="11"/>
      <c r="H45" s="11"/>
      <c r="I45" s="11"/>
      <c r="J45" s="11"/>
      <c r="K45" s="11"/>
    </row>
    <row r="46" spans="1:11" x14ac:dyDescent="0.3">
      <c r="G46" s="11"/>
      <c r="H46" s="11"/>
      <c r="I46" s="11"/>
      <c r="J46" s="11"/>
      <c r="K46" s="11"/>
    </row>
    <row r="47" spans="1:11" x14ac:dyDescent="0.3">
      <c r="G47" s="11"/>
      <c r="H47" s="11"/>
      <c r="I47" s="11"/>
      <c r="J47" s="11"/>
      <c r="K47" s="11"/>
    </row>
    <row r="48" spans="1:11" x14ac:dyDescent="0.3">
      <c r="G48" s="11"/>
      <c r="H48" s="11"/>
      <c r="I48" s="11"/>
      <c r="J48" s="11"/>
      <c r="K48" s="11"/>
    </row>
    <row r="49" spans="7:11" x14ac:dyDescent="0.3">
      <c r="G49" s="11"/>
      <c r="H49" s="11"/>
      <c r="I49" s="11"/>
      <c r="J49" s="11"/>
      <c r="K49" s="11"/>
    </row>
    <row r="50" spans="7:11" x14ac:dyDescent="0.3">
      <c r="G50" s="11"/>
      <c r="H50" s="11"/>
      <c r="I50" s="11"/>
      <c r="J50" s="11"/>
      <c r="K50" s="11"/>
    </row>
    <row r="51" spans="7:11" x14ac:dyDescent="0.3">
      <c r="G51" s="11"/>
      <c r="H51" s="11"/>
      <c r="I51" s="11"/>
      <c r="J51" s="11"/>
      <c r="K51" s="11"/>
    </row>
    <row r="52" spans="7:11" x14ac:dyDescent="0.3">
      <c r="G52" s="11"/>
      <c r="H52" s="11"/>
      <c r="I52" s="11"/>
      <c r="J52" s="11"/>
      <c r="K52" s="11"/>
    </row>
    <row r="53" spans="7:11" x14ac:dyDescent="0.3">
      <c r="G53" s="11"/>
      <c r="H53" s="11"/>
      <c r="I53" s="11"/>
      <c r="J53" s="11"/>
      <c r="K53" s="11"/>
    </row>
    <row r="54" spans="7:11" x14ac:dyDescent="0.3">
      <c r="G54" s="11"/>
      <c r="H54" s="11"/>
      <c r="I54" s="11"/>
      <c r="J54" s="11"/>
      <c r="K54" s="11"/>
    </row>
    <row r="55" spans="7:11" x14ac:dyDescent="0.3">
      <c r="G55" s="11"/>
      <c r="H55" s="11"/>
      <c r="I55" s="11"/>
      <c r="J55" s="11"/>
      <c r="K55" s="11"/>
    </row>
    <row r="56" spans="7:11" x14ac:dyDescent="0.3">
      <c r="G56" s="11"/>
      <c r="H56" s="11"/>
      <c r="I56" s="11"/>
      <c r="J56" s="11"/>
      <c r="K56" s="11"/>
    </row>
    <row r="57" spans="7:11" x14ac:dyDescent="0.3">
      <c r="G57" s="11"/>
      <c r="H57" s="11"/>
      <c r="I57" s="11"/>
      <c r="J57" s="11"/>
      <c r="K57" s="11"/>
    </row>
    <row r="58" spans="7:11" x14ac:dyDescent="0.3">
      <c r="G58" s="11"/>
      <c r="H58" s="11"/>
      <c r="I58" s="11"/>
      <c r="J58" s="11"/>
      <c r="K58" s="11"/>
    </row>
    <row r="59" spans="7:11" x14ac:dyDescent="0.3">
      <c r="G59" s="11"/>
      <c r="H59" s="11"/>
      <c r="I59" s="11"/>
      <c r="J59" s="11"/>
      <c r="K59" s="11"/>
    </row>
    <row r="60" spans="7:11" x14ac:dyDescent="0.3">
      <c r="G60" s="11"/>
      <c r="H60" s="11"/>
      <c r="I60" s="11"/>
      <c r="J60" s="11"/>
      <c r="K60" s="11"/>
    </row>
    <row r="61" spans="7:11" x14ac:dyDescent="0.3">
      <c r="G61" s="11"/>
      <c r="H61" s="11"/>
      <c r="I61" s="11"/>
      <c r="J61" s="11"/>
      <c r="K61" s="11"/>
    </row>
    <row r="62" spans="7:11" x14ac:dyDescent="0.3">
      <c r="G62" s="11"/>
      <c r="H62" s="11"/>
      <c r="I62" s="11"/>
      <c r="J62" s="11"/>
      <c r="K62" s="11"/>
    </row>
    <row r="63" spans="7:11" x14ac:dyDescent="0.3">
      <c r="G63" s="11"/>
      <c r="H63" s="11"/>
      <c r="I63" s="11"/>
      <c r="J63" s="11"/>
      <c r="K63" s="11"/>
    </row>
    <row r="64" spans="7:11" x14ac:dyDescent="0.3">
      <c r="G64" s="11"/>
      <c r="H64" s="11"/>
      <c r="I64" s="11"/>
      <c r="J64" s="11"/>
      <c r="K64" s="11"/>
    </row>
    <row r="65" spans="7:11" x14ac:dyDescent="0.3">
      <c r="G65" s="11"/>
      <c r="H65" s="11"/>
      <c r="I65" s="11"/>
      <c r="J65" s="11"/>
      <c r="K65" s="11"/>
    </row>
    <row r="66" spans="7:11" x14ac:dyDescent="0.3">
      <c r="G66" s="11"/>
      <c r="H66" s="11"/>
      <c r="I66" s="11"/>
      <c r="J66" s="11"/>
      <c r="K66" s="11"/>
    </row>
    <row r="67" spans="7:11" x14ac:dyDescent="0.3">
      <c r="G67" s="11"/>
      <c r="H67" s="11"/>
      <c r="I67" s="11"/>
      <c r="J67" s="11"/>
      <c r="K67" s="11"/>
    </row>
    <row r="68" spans="7:11" x14ac:dyDescent="0.3">
      <c r="G68" s="11"/>
      <c r="H68" s="11"/>
      <c r="I68" s="11"/>
      <c r="J68" s="11"/>
      <c r="K68" s="11"/>
    </row>
    <row r="69" spans="7:11" x14ac:dyDescent="0.3">
      <c r="G69" s="11"/>
      <c r="H69" s="11"/>
      <c r="I69" s="11"/>
      <c r="J69" s="11"/>
      <c r="K69" s="11"/>
    </row>
    <row r="70" spans="7:11" x14ac:dyDescent="0.3">
      <c r="G70" s="11"/>
      <c r="H70" s="11"/>
      <c r="I70" s="11"/>
      <c r="J70" s="11"/>
      <c r="K70" s="11"/>
    </row>
    <row r="71" spans="7:11" x14ac:dyDescent="0.3">
      <c r="G71" s="11"/>
      <c r="H71" s="11"/>
      <c r="I71" s="11"/>
      <c r="J71" s="11"/>
      <c r="K71" s="11"/>
    </row>
    <row r="72" spans="7:11" x14ac:dyDescent="0.3">
      <c r="G72" s="11"/>
      <c r="H72" s="11"/>
      <c r="I72" s="11"/>
      <c r="J72" s="11"/>
      <c r="K72" s="11"/>
    </row>
    <row r="73" spans="7:11" x14ac:dyDescent="0.3">
      <c r="G73" s="11"/>
      <c r="H73" s="11"/>
      <c r="I73" s="11"/>
      <c r="J73" s="11"/>
      <c r="K73" s="11"/>
    </row>
    <row r="74" spans="7:11" x14ac:dyDescent="0.3">
      <c r="G74" s="11"/>
      <c r="H74" s="11"/>
      <c r="I74" s="11"/>
      <c r="J74" s="11"/>
      <c r="K74" s="11"/>
    </row>
    <row r="75" spans="7:11" x14ac:dyDescent="0.3">
      <c r="G75" s="11"/>
      <c r="H75" s="11"/>
      <c r="I75" s="11"/>
      <c r="J75" s="11"/>
      <c r="K75" s="11"/>
    </row>
    <row r="76" spans="7:11" x14ac:dyDescent="0.3">
      <c r="G76" s="11"/>
      <c r="H76" s="11"/>
      <c r="I76" s="11"/>
      <c r="J76" s="11"/>
      <c r="K76" s="11"/>
    </row>
    <row r="77" spans="7:11" x14ac:dyDescent="0.3">
      <c r="G77" s="11"/>
      <c r="H77" s="11"/>
      <c r="I77" s="11"/>
      <c r="J77" s="11"/>
      <c r="K77" s="11"/>
    </row>
    <row r="78" spans="7:11" x14ac:dyDescent="0.3">
      <c r="G78" s="11"/>
      <c r="H78" s="11"/>
      <c r="I78" s="11"/>
      <c r="J78" s="11"/>
      <c r="K78" s="11"/>
    </row>
    <row r="79" spans="7:11" x14ac:dyDescent="0.3">
      <c r="G79" s="11"/>
      <c r="H79" s="11"/>
      <c r="I79" s="11"/>
      <c r="J79" s="11"/>
      <c r="K79" s="11"/>
    </row>
    <row r="80" spans="7:11" x14ac:dyDescent="0.3">
      <c r="G80" s="11"/>
      <c r="H80" s="11"/>
      <c r="I80" s="11"/>
      <c r="J80" s="11"/>
      <c r="K80" s="11"/>
    </row>
    <row r="81" spans="7:11" x14ac:dyDescent="0.3">
      <c r="G81" s="11"/>
      <c r="H81" s="11"/>
      <c r="I81" s="11"/>
      <c r="J81" s="11"/>
      <c r="K81" s="11"/>
    </row>
    <row r="82" spans="7:11" x14ac:dyDescent="0.3">
      <c r="G82" s="11"/>
      <c r="H82" s="11"/>
      <c r="I82" s="11"/>
      <c r="J82" s="11"/>
      <c r="K82" s="11"/>
    </row>
    <row r="83" spans="7:11" x14ac:dyDescent="0.3">
      <c r="G83" s="11"/>
      <c r="H83" s="11"/>
      <c r="I83" s="11"/>
      <c r="J83" s="11"/>
      <c r="K83" s="11"/>
    </row>
    <row r="84" spans="7:11" x14ac:dyDescent="0.3">
      <c r="I84" s="11"/>
      <c r="J84" s="11"/>
      <c r="K84" s="11"/>
    </row>
    <row r="85" spans="7:11" x14ac:dyDescent="0.3">
      <c r="I85" s="11"/>
      <c r="J85" s="11"/>
      <c r="K85" s="11"/>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39A77F-DAFB-44E8-967B-7D42C8875175}">
  <sheetPr codeName="Sheet3"/>
  <dimension ref="A1:I84"/>
  <sheetViews>
    <sheetView topLeftCell="C1" workbookViewId="0">
      <selection activeCell="I4" sqref="I4"/>
    </sheetView>
  </sheetViews>
  <sheetFormatPr defaultRowHeight="14.4" x14ac:dyDescent="0.3"/>
  <cols>
    <col min="1" max="1" width="11.44140625" style="1" bestFit="1" customWidth="1"/>
    <col min="2" max="2" width="17.77734375" style="1" bestFit="1" customWidth="1"/>
    <col min="3" max="3" width="9.88671875" style="1" bestFit="1" customWidth="1"/>
    <col min="4" max="4" width="14.33203125" style="1" bestFit="1" customWidth="1"/>
    <col min="5" max="5" width="10.6640625" style="1" bestFit="1" customWidth="1"/>
    <col min="6" max="6" width="12.44140625" style="1" bestFit="1" customWidth="1"/>
    <col min="8" max="8" width="17.77734375" bestFit="1" customWidth="1"/>
    <col min="9" max="9" width="12.88671875" bestFit="1" customWidth="1"/>
  </cols>
  <sheetData>
    <row r="1" spans="1:9" s="5" customFormat="1" ht="15.6" x14ac:dyDescent="0.3">
      <c r="A1" s="12" t="s">
        <v>0</v>
      </c>
      <c r="B1" s="12" t="s">
        <v>1</v>
      </c>
      <c r="C1" s="12" t="s">
        <v>2</v>
      </c>
      <c r="D1" s="12" t="s">
        <v>5</v>
      </c>
      <c r="E1" s="12" t="s">
        <v>3</v>
      </c>
      <c r="F1" s="12" t="s">
        <v>13</v>
      </c>
    </row>
    <row r="2" spans="1:9" x14ac:dyDescent="0.3">
      <c r="A2" s="13" t="s">
        <v>9</v>
      </c>
      <c r="B2" s="13" t="s">
        <v>27</v>
      </c>
      <c r="C2" s="13" t="s">
        <v>11</v>
      </c>
      <c r="D2" s="13">
        <v>20</v>
      </c>
      <c r="E2" s="13">
        <v>550</v>
      </c>
      <c r="F2" s="13">
        <v>11000</v>
      </c>
      <c r="H2" s="3" t="s">
        <v>22</v>
      </c>
      <c r="I2" s="2">
        <v>81</v>
      </c>
    </row>
    <row r="3" spans="1:9" x14ac:dyDescent="0.3">
      <c r="A3" s="13" t="s">
        <v>14</v>
      </c>
      <c r="B3" s="13" t="s">
        <v>28</v>
      </c>
      <c r="C3" s="13" t="s">
        <v>11</v>
      </c>
      <c r="D3" s="13">
        <v>12</v>
      </c>
      <c r="E3" s="13">
        <v>1434</v>
      </c>
      <c r="F3" s="13">
        <v>17208</v>
      </c>
      <c r="H3" s="3" t="s">
        <v>23</v>
      </c>
      <c r="I3" s="2">
        <v>1672</v>
      </c>
    </row>
    <row r="4" spans="1:9" x14ac:dyDescent="0.3">
      <c r="A4" s="13" t="s">
        <v>25</v>
      </c>
      <c r="B4" s="13" t="s">
        <v>29</v>
      </c>
      <c r="C4" s="13" t="s">
        <v>11</v>
      </c>
      <c r="D4" s="13">
        <v>9</v>
      </c>
      <c r="E4" s="13">
        <v>950</v>
      </c>
      <c r="F4" s="13">
        <v>8550</v>
      </c>
      <c r="H4" s="4" t="s">
        <v>24</v>
      </c>
      <c r="I4" s="39">
        <v>3387432</v>
      </c>
    </row>
    <row r="5" spans="1:9" x14ac:dyDescent="0.3">
      <c r="A5" s="13" t="s">
        <v>30</v>
      </c>
      <c r="B5" s="13" t="s">
        <v>31</v>
      </c>
      <c r="C5" s="13" t="s">
        <v>11</v>
      </c>
      <c r="D5" s="13">
        <v>24</v>
      </c>
      <c r="E5" s="13">
        <v>3516</v>
      </c>
      <c r="F5" s="13">
        <v>84384</v>
      </c>
    </row>
    <row r="6" spans="1:9" x14ac:dyDescent="0.3">
      <c r="A6" s="13" t="s">
        <v>32</v>
      </c>
      <c r="B6" s="13" t="s">
        <v>33</v>
      </c>
      <c r="C6" s="13" t="s">
        <v>11</v>
      </c>
      <c r="D6" s="13">
        <v>15</v>
      </c>
      <c r="E6" s="13">
        <v>1100</v>
      </c>
      <c r="F6" s="13">
        <v>16500</v>
      </c>
    </row>
    <row r="7" spans="1:9" x14ac:dyDescent="0.3">
      <c r="A7" s="13" t="s">
        <v>34</v>
      </c>
      <c r="B7" s="13" t="s">
        <v>35</v>
      </c>
      <c r="C7" s="13" t="s">
        <v>11</v>
      </c>
      <c r="D7" s="13">
        <v>24</v>
      </c>
      <c r="E7" s="13">
        <v>3500</v>
      </c>
      <c r="F7" s="13">
        <v>84000</v>
      </c>
    </row>
    <row r="8" spans="1:9" x14ac:dyDescent="0.3">
      <c r="A8" s="13" t="s">
        <v>36</v>
      </c>
      <c r="B8" s="13" t="s">
        <v>37</v>
      </c>
      <c r="C8" s="13" t="s">
        <v>11</v>
      </c>
      <c r="D8" s="13">
        <v>21</v>
      </c>
      <c r="E8" s="13">
        <v>1800</v>
      </c>
      <c r="F8" s="13">
        <v>37800</v>
      </c>
    </row>
    <row r="9" spans="1:9" x14ac:dyDescent="0.3">
      <c r="A9" s="13" t="s">
        <v>38</v>
      </c>
      <c r="B9" s="13" t="s">
        <v>39</v>
      </c>
      <c r="C9" s="13" t="s">
        <v>11</v>
      </c>
      <c r="D9" s="13">
        <v>25</v>
      </c>
      <c r="E9" s="13">
        <v>250</v>
      </c>
      <c r="F9" s="13">
        <v>6250</v>
      </c>
    </row>
    <row r="10" spans="1:9" x14ac:dyDescent="0.3">
      <c r="A10" s="13" t="s">
        <v>40</v>
      </c>
      <c r="B10" s="13" t="s">
        <v>41</v>
      </c>
      <c r="C10" s="13" t="s">
        <v>11</v>
      </c>
      <c r="D10" s="13">
        <v>20</v>
      </c>
      <c r="E10" s="13">
        <v>3500</v>
      </c>
      <c r="F10" s="13">
        <v>70000</v>
      </c>
    </row>
    <row r="11" spans="1:9" x14ac:dyDescent="0.3">
      <c r="A11" s="13" t="s">
        <v>42</v>
      </c>
      <c r="B11" s="13" t="s">
        <v>43</v>
      </c>
      <c r="C11" s="13" t="s">
        <v>11</v>
      </c>
      <c r="D11" s="13">
        <v>12</v>
      </c>
      <c r="E11" s="13">
        <v>3750</v>
      </c>
      <c r="F11" s="13">
        <v>45000</v>
      </c>
    </row>
    <row r="12" spans="1:9" x14ac:dyDescent="0.3">
      <c r="A12" s="13" t="s">
        <v>44</v>
      </c>
      <c r="B12" s="13" t="s">
        <v>45</v>
      </c>
      <c r="C12" s="13" t="s">
        <v>11</v>
      </c>
      <c r="D12" s="13">
        <v>6</v>
      </c>
      <c r="E12" s="13">
        <v>5600</v>
      </c>
      <c r="F12" s="13">
        <v>33600</v>
      </c>
    </row>
    <row r="13" spans="1:9" x14ac:dyDescent="0.3">
      <c r="A13" s="13" t="s">
        <v>46</v>
      </c>
      <c r="B13" s="13" t="s">
        <v>47</v>
      </c>
      <c r="C13" s="13" t="s">
        <v>11</v>
      </c>
      <c r="D13" s="13">
        <v>12</v>
      </c>
      <c r="E13" s="13">
        <v>4500</v>
      </c>
      <c r="F13" s="13">
        <v>54000</v>
      </c>
    </row>
    <row r="14" spans="1:9" x14ac:dyDescent="0.3">
      <c r="A14" s="13" t="s">
        <v>48</v>
      </c>
      <c r="B14" s="13" t="s">
        <v>49</v>
      </c>
      <c r="C14" s="13" t="s">
        <v>11</v>
      </c>
      <c r="D14" s="13">
        <v>3</v>
      </c>
      <c r="E14" s="13">
        <v>1200</v>
      </c>
      <c r="F14" s="13">
        <v>3600</v>
      </c>
    </row>
    <row r="15" spans="1:9" x14ac:dyDescent="0.3">
      <c r="A15" s="13" t="s">
        <v>50</v>
      </c>
      <c r="B15" s="13" t="s">
        <v>51</v>
      </c>
      <c r="C15" s="13" t="s">
        <v>11</v>
      </c>
      <c r="D15" s="13">
        <v>15</v>
      </c>
      <c r="E15" s="13">
        <v>600</v>
      </c>
      <c r="F15" s="13">
        <v>9000</v>
      </c>
    </row>
    <row r="16" spans="1:9" x14ac:dyDescent="0.3">
      <c r="A16" s="13" t="s">
        <v>52</v>
      </c>
      <c r="B16" s="13" t="s">
        <v>53</v>
      </c>
      <c r="C16" s="13" t="s">
        <v>11</v>
      </c>
      <c r="D16" s="13">
        <v>10</v>
      </c>
      <c r="E16" s="13">
        <v>450</v>
      </c>
      <c r="F16" s="13">
        <v>4500</v>
      </c>
    </row>
    <row r="17" spans="1:6" x14ac:dyDescent="0.3">
      <c r="A17" s="13" t="s">
        <v>54</v>
      </c>
      <c r="B17" s="13" t="s">
        <v>55</v>
      </c>
      <c r="C17" s="13" t="s">
        <v>11</v>
      </c>
      <c r="D17" s="13">
        <v>8</v>
      </c>
      <c r="E17" s="13">
        <v>8600</v>
      </c>
      <c r="F17" s="13">
        <v>68800</v>
      </c>
    </row>
    <row r="18" spans="1:6" x14ac:dyDescent="0.3">
      <c r="A18" s="13" t="s">
        <v>56</v>
      </c>
      <c r="B18" s="13" t="s">
        <v>57</v>
      </c>
      <c r="C18" s="13" t="s">
        <v>11</v>
      </c>
      <c r="D18" s="13">
        <v>6</v>
      </c>
      <c r="E18" s="13">
        <v>5500</v>
      </c>
      <c r="F18" s="13">
        <v>33000</v>
      </c>
    </row>
    <row r="19" spans="1:6" x14ac:dyDescent="0.3">
      <c r="A19" s="13" t="s">
        <v>58</v>
      </c>
      <c r="B19" s="13" t="s">
        <v>59</v>
      </c>
      <c r="C19" s="13" t="s">
        <v>11</v>
      </c>
      <c r="D19" s="13">
        <v>15</v>
      </c>
      <c r="E19" s="13">
        <v>4500</v>
      </c>
      <c r="F19" s="13">
        <v>67500</v>
      </c>
    </row>
    <row r="20" spans="1:6" x14ac:dyDescent="0.3">
      <c r="A20" s="13" t="s">
        <v>60</v>
      </c>
      <c r="B20" s="13" t="s">
        <v>61</v>
      </c>
      <c r="C20" s="13" t="s">
        <v>11</v>
      </c>
      <c r="D20" s="13">
        <v>13</v>
      </c>
      <c r="E20" s="13">
        <v>1600</v>
      </c>
      <c r="F20" s="13">
        <v>20800</v>
      </c>
    </row>
    <row r="21" spans="1:6" x14ac:dyDescent="0.3">
      <c r="A21" s="13" t="s">
        <v>62</v>
      </c>
      <c r="B21" s="13" t="s">
        <v>63</v>
      </c>
      <c r="C21" s="13" t="s">
        <v>11</v>
      </c>
      <c r="D21" s="13">
        <v>12</v>
      </c>
      <c r="E21" s="13">
        <v>2100</v>
      </c>
      <c r="F21" s="13">
        <v>25200</v>
      </c>
    </row>
    <row r="22" spans="1:6" x14ac:dyDescent="0.3">
      <c r="A22" s="13" t="s">
        <v>64</v>
      </c>
      <c r="B22" s="13" t="s">
        <v>65</v>
      </c>
      <c r="C22" s="13" t="s">
        <v>66</v>
      </c>
      <c r="D22" s="13">
        <v>24</v>
      </c>
      <c r="E22" s="13">
        <v>2150</v>
      </c>
      <c r="F22" s="13">
        <v>51600</v>
      </c>
    </row>
    <row r="23" spans="1:6" x14ac:dyDescent="0.3">
      <c r="A23" s="13" t="s">
        <v>67</v>
      </c>
      <c r="B23" s="13" t="s">
        <v>68</v>
      </c>
      <c r="C23" s="13" t="s">
        <v>66</v>
      </c>
      <c r="D23" s="13">
        <v>15</v>
      </c>
      <c r="E23" s="13">
        <v>80</v>
      </c>
      <c r="F23" s="13">
        <v>1200</v>
      </c>
    </row>
    <row r="24" spans="1:6" x14ac:dyDescent="0.3">
      <c r="A24" s="13" t="s">
        <v>69</v>
      </c>
      <c r="B24" s="13" t="s">
        <v>70</v>
      </c>
      <c r="C24" s="13" t="s">
        <v>66</v>
      </c>
      <c r="D24" s="13">
        <v>12</v>
      </c>
      <c r="E24" s="13">
        <v>180</v>
      </c>
      <c r="F24" s="13">
        <v>2160</v>
      </c>
    </row>
    <row r="25" spans="1:6" x14ac:dyDescent="0.3">
      <c r="A25" s="13" t="s">
        <v>71</v>
      </c>
      <c r="B25" s="13" t="s">
        <v>72</v>
      </c>
      <c r="C25" s="13" t="s">
        <v>66</v>
      </c>
      <c r="D25" s="13">
        <v>20</v>
      </c>
      <c r="E25" s="13">
        <v>60</v>
      </c>
      <c r="F25" s="13">
        <v>1200</v>
      </c>
    </row>
    <row r="26" spans="1:6" x14ac:dyDescent="0.3">
      <c r="A26" s="13" t="s">
        <v>73</v>
      </c>
      <c r="B26" s="13" t="s">
        <v>74</v>
      </c>
      <c r="C26" s="13" t="s">
        <v>66</v>
      </c>
      <c r="D26" s="13">
        <v>25</v>
      </c>
      <c r="E26" s="13">
        <v>850</v>
      </c>
      <c r="F26" s="13">
        <v>21250</v>
      </c>
    </row>
    <row r="27" spans="1:6" x14ac:dyDescent="0.3">
      <c r="A27" s="13" t="s">
        <v>75</v>
      </c>
      <c r="B27" s="13" t="s">
        <v>76</v>
      </c>
      <c r="C27" s="13" t="s">
        <v>66</v>
      </c>
      <c r="D27" s="13">
        <v>12</v>
      </c>
      <c r="E27" s="13">
        <v>690</v>
      </c>
      <c r="F27" s="13">
        <v>8280</v>
      </c>
    </row>
    <row r="28" spans="1:6" x14ac:dyDescent="0.3">
      <c r="A28" s="13" t="s">
        <v>77</v>
      </c>
      <c r="B28" s="13" t="s">
        <v>78</v>
      </c>
      <c r="C28" s="13" t="s">
        <v>66</v>
      </c>
      <c r="D28" s="13">
        <v>12</v>
      </c>
      <c r="E28" s="13">
        <v>840</v>
      </c>
      <c r="F28" s="13">
        <v>10080</v>
      </c>
    </row>
    <row r="29" spans="1:6" x14ac:dyDescent="0.3">
      <c r="A29" s="13" t="s">
        <v>79</v>
      </c>
      <c r="B29" s="13" t="s">
        <v>80</v>
      </c>
      <c r="C29" s="13" t="s">
        <v>66</v>
      </c>
      <c r="D29" s="13">
        <v>16</v>
      </c>
      <c r="E29" s="13">
        <v>56</v>
      </c>
      <c r="F29" s="13">
        <v>896</v>
      </c>
    </row>
    <row r="30" spans="1:6" x14ac:dyDescent="0.3">
      <c r="A30" s="13" t="s">
        <v>81</v>
      </c>
      <c r="B30" s="13" t="s">
        <v>82</v>
      </c>
      <c r="C30" s="13" t="s">
        <v>66</v>
      </c>
      <c r="D30" s="13">
        <v>20</v>
      </c>
      <c r="E30" s="13">
        <v>350</v>
      </c>
      <c r="F30" s="13">
        <v>7000</v>
      </c>
    </row>
    <row r="31" spans="1:6" x14ac:dyDescent="0.3">
      <c r="A31" s="13" t="s">
        <v>83</v>
      </c>
      <c r="B31" s="13" t="s">
        <v>84</v>
      </c>
      <c r="C31" s="13" t="s">
        <v>66</v>
      </c>
      <c r="D31" s="13">
        <v>25</v>
      </c>
      <c r="E31" s="13">
        <v>420</v>
      </c>
      <c r="F31" s="13">
        <v>10500</v>
      </c>
    </row>
    <row r="32" spans="1:6" x14ac:dyDescent="0.3">
      <c r="A32" s="13" t="s">
        <v>85</v>
      </c>
      <c r="B32" s="13" t="s">
        <v>86</v>
      </c>
      <c r="C32" s="13" t="s">
        <v>66</v>
      </c>
      <c r="D32" s="13">
        <v>65</v>
      </c>
      <c r="E32" s="13">
        <v>25</v>
      </c>
      <c r="F32" s="13">
        <v>1625</v>
      </c>
    </row>
    <row r="33" spans="1:6" x14ac:dyDescent="0.3">
      <c r="A33" s="13" t="s">
        <v>87</v>
      </c>
      <c r="B33" s="13" t="s">
        <v>88</v>
      </c>
      <c r="C33" s="13" t="s">
        <v>66</v>
      </c>
      <c r="D33" s="13">
        <v>12</v>
      </c>
      <c r="E33" s="13">
        <v>120</v>
      </c>
      <c r="F33" s="13">
        <v>1440</v>
      </c>
    </row>
    <row r="34" spans="1:6" x14ac:dyDescent="0.3">
      <c r="A34" s="13" t="s">
        <v>89</v>
      </c>
      <c r="B34" s="13" t="s">
        <v>90</v>
      </c>
      <c r="C34" s="13" t="s">
        <v>66</v>
      </c>
      <c r="D34" s="13">
        <v>24</v>
      </c>
      <c r="E34" s="13">
        <v>160</v>
      </c>
      <c r="F34" s="13">
        <v>3840</v>
      </c>
    </row>
    <row r="35" spans="1:6" x14ac:dyDescent="0.3">
      <c r="A35" s="13" t="s">
        <v>91</v>
      </c>
      <c r="B35" s="13" t="s">
        <v>92</v>
      </c>
      <c r="C35" s="13" t="s">
        <v>66</v>
      </c>
      <c r="D35" s="13">
        <v>30</v>
      </c>
      <c r="E35" s="13">
        <v>60</v>
      </c>
      <c r="F35" s="13">
        <v>1800</v>
      </c>
    </row>
    <row r="36" spans="1:6" x14ac:dyDescent="0.3">
      <c r="A36" s="13" t="s">
        <v>93</v>
      </c>
      <c r="B36" s="13" t="s">
        <v>94</v>
      </c>
      <c r="C36" s="13" t="s">
        <v>66</v>
      </c>
      <c r="D36" s="13">
        <v>20</v>
      </c>
      <c r="E36" s="13">
        <v>85</v>
      </c>
      <c r="F36" s="13">
        <v>1700</v>
      </c>
    </row>
    <row r="37" spans="1:6" x14ac:dyDescent="0.3">
      <c r="A37" s="13" t="s">
        <v>95</v>
      </c>
      <c r="B37" s="13" t="s">
        <v>96</v>
      </c>
      <c r="C37" s="13" t="s">
        <v>66</v>
      </c>
      <c r="D37" s="13">
        <v>45</v>
      </c>
      <c r="E37" s="13">
        <v>10</v>
      </c>
      <c r="F37" s="13">
        <v>450</v>
      </c>
    </row>
    <row r="38" spans="1:6" x14ac:dyDescent="0.3">
      <c r="A38" s="13" t="s">
        <v>97</v>
      </c>
      <c r="B38" s="13" t="s">
        <v>98</v>
      </c>
      <c r="C38" s="13" t="s">
        <v>66</v>
      </c>
      <c r="D38" s="13">
        <v>25</v>
      </c>
      <c r="E38" s="13">
        <v>20</v>
      </c>
      <c r="F38" s="13">
        <v>500</v>
      </c>
    </row>
    <row r="39" spans="1:6" x14ac:dyDescent="0.3">
      <c r="A39" s="13" t="s">
        <v>99</v>
      </c>
      <c r="B39" s="13" t="s">
        <v>100</v>
      </c>
      <c r="C39" s="13" t="s">
        <v>66</v>
      </c>
      <c r="D39" s="13">
        <v>25</v>
      </c>
      <c r="E39" s="13">
        <v>1510</v>
      </c>
      <c r="F39" s="13">
        <v>37750</v>
      </c>
    </row>
    <row r="40" spans="1:6" x14ac:dyDescent="0.3">
      <c r="A40" s="13" t="s">
        <v>101</v>
      </c>
      <c r="B40" s="13" t="s">
        <v>102</v>
      </c>
      <c r="C40" s="13" t="s">
        <v>66</v>
      </c>
      <c r="D40" s="13">
        <v>16</v>
      </c>
      <c r="E40" s="13">
        <v>1150</v>
      </c>
      <c r="F40" s="13">
        <v>18400</v>
      </c>
    </row>
    <row r="41" spans="1:6" x14ac:dyDescent="0.3">
      <c r="A41" s="13" t="s">
        <v>103</v>
      </c>
      <c r="B41" s="13" t="s">
        <v>104</v>
      </c>
      <c r="C41" s="13" t="s">
        <v>66</v>
      </c>
      <c r="D41" s="13">
        <v>14</v>
      </c>
      <c r="E41" s="13">
        <v>250</v>
      </c>
      <c r="F41" s="13">
        <v>3500</v>
      </c>
    </row>
    <row r="42" spans="1:6" x14ac:dyDescent="0.3">
      <c r="A42" s="13" t="s">
        <v>105</v>
      </c>
      <c r="B42" s="13" t="s">
        <v>106</v>
      </c>
      <c r="C42" s="13" t="s">
        <v>16</v>
      </c>
      <c r="D42" s="13">
        <v>40</v>
      </c>
      <c r="E42" s="13">
        <v>10</v>
      </c>
      <c r="F42" s="13">
        <v>400</v>
      </c>
    </row>
    <row r="43" spans="1:6" x14ac:dyDescent="0.3">
      <c r="A43" s="13" t="s">
        <v>107</v>
      </c>
      <c r="B43" s="13" t="s">
        <v>108</v>
      </c>
      <c r="C43" s="13" t="s">
        <v>16</v>
      </c>
      <c r="D43" s="13">
        <v>50</v>
      </c>
      <c r="E43" s="13">
        <v>50</v>
      </c>
      <c r="F43" s="13">
        <v>2500</v>
      </c>
    </row>
    <row r="44" spans="1:6" x14ac:dyDescent="0.3">
      <c r="A44" s="13" t="s">
        <v>109</v>
      </c>
      <c r="B44" s="13" t="s">
        <v>110</v>
      </c>
      <c r="C44" s="13" t="s">
        <v>16</v>
      </c>
      <c r="D44" s="13">
        <v>35</v>
      </c>
      <c r="E44" s="13">
        <v>80</v>
      </c>
      <c r="F44" s="13">
        <v>2800</v>
      </c>
    </row>
    <row r="45" spans="1:6" x14ac:dyDescent="0.3">
      <c r="A45" s="13" t="s">
        <v>111</v>
      </c>
      <c r="B45" s="13" t="s">
        <v>112</v>
      </c>
      <c r="C45" s="13" t="s">
        <v>16</v>
      </c>
      <c r="D45" s="13">
        <v>12</v>
      </c>
      <c r="E45" s="13">
        <v>10</v>
      </c>
      <c r="F45" s="13">
        <v>120</v>
      </c>
    </row>
    <row r="46" spans="1:6" x14ac:dyDescent="0.3">
      <c r="A46" s="13" t="s">
        <v>113</v>
      </c>
      <c r="B46" s="13" t="s">
        <v>114</v>
      </c>
      <c r="C46" s="13" t="s">
        <v>16</v>
      </c>
      <c r="D46" s="13">
        <v>45</v>
      </c>
      <c r="E46" s="13">
        <v>10</v>
      </c>
      <c r="F46" s="13">
        <v>450</v>
      </c>
    </row>
    <row r="47" spans="1:6" x14ac:dyDescent="0.3">
      <c r="A47" s="13" t="s">
        <v>115</v>
      </c>
      <c r="B47" s="13" t="s">
        <v>116</v>
      </c>
      <c r="C47" s="13" t="s">
        <v>16</v>
      </c>
      <c r="D47" s="13">
        <v>24</v>
      </c>
      <c r="E47" s="13">
        <v>30</v>
      </c>
      <c r="F47" s="13">
        <v>720</v>
      </c>
    </row>
    <row r="48" spans="1:6" x14ac:dyDescent="0.3">
      <c r="A48" s="13" t="s">
        <v>117</v>
      </c>
      <c r="B48" s="13" t="s">
        <v>118</v>
      </c>
      <c r="C48" s="13" t="s">
        <v>16</v>
      </c>
      <c r="D48" s="13">
        <v>35</v>
      </c>
      <c r="E48" s="13">
        <v>40</v>
      </c>
      <c r="F48" s="13">
        <v>1400</v>
      </c>
    </row>
    <row r="49" spans="1:6" x14ac:dyDescent="0.3">
      <c r="A49" s="13" t="s">
        <v>119</v>
      </c>
      <c r="B49" s="13" t="s">
        <v>120</v>
      </c>
      <c r="C49" s="13" t="s">
        <v>16</v>
      </c>
      <c r="D49" s="13">
        <v>24</v>
      </c>
      <c r="E49" s="13">
        <v>80</v>
      </c>
      <c r="F49" s="13">
        <v>1920</v>
      </c>
    </row>
    <row r="50" spans="1:6" x14ac:dyDescent="0.3">
      <c r="A50" s="13" t="s">
        <v>121</v>
      </c>
      <c r="B50" s="13" t="s">
        <v>122</v>
      </c>
      <c r="C50" s="13" t="s">
        <v>16</v>
      </c>
      <c r="D50" s="13">
        <v>31</v>
      </c>
      <c r="E50" s="13">
        <v>20</v>
      </c>
      <c r="F50" s="13">
        <v>620</v>
      </c>
    </row>
    <row r="51" spans="1:6" x14ac:dyDescent="0.3">
      <c r="A51" s="13" t="s">
        <v>123</v>
      </c>
      <c r="B51" s="13" t="s">
        <v>124</v>
      </c>
      <c r="C51" s="13" t="s">
        <v>16</v>
      </c>
      <c r="D51" s="13">
        <v>62</v>
      </c>
      <c r="E51" s="13">
        <v>40</v>
      </c>
      <c r="F51" s="13">
        <v>2480</v>
      </c>
    </row>
    <row r="52" spans="1:6" x14ac:dyDescent="0.3">
      <c r="A52" s="13" t="s">
        <v>125</v>
      </c>
      <c r="B52" s="13" t="s">
        <v>126</v>
      </c>
      <c r="C52" s="13" t="s">
        <v>16</v>
      </c>
      <c r="D52" s="13">
        <v>21</v>
      </c>
      <c r="E52" s="13">
        <v>60</v>
      </c>
      <c r="F52" s="13">
        <v>1260</v>
      </c>
    </row>
    <row r="53" spans="1:6" x14ac:dyDescent="0.3">
      <c r="A53" s="13" t="s">
        <v>127</v>
      </c>
      <c r="B53" s="13" t="s">
        <v>128</v>
      </c>
      <c r="C53" s="13" t="s">
        <v>16</v>
      </c>
      <c r="D53" s="13">
        <v>24</v>
      </c>
      <c r="E53" s="13">
        <v>55</v>
      </c>
      <c r="F53" s="13">
        <v>1320</v>
      </c>
    </row>
    <row r="54" spans="1:6" x14ac:dyDescent="0.3">
      <c r="A54" s="13" t="s">
        <v>129</v>
      </c>
      <c r="B54" s="13" t="s">
        <v>130</v>
      </c>
      <c r="C54" s="13" t="s">
        <v>16</v>
      </c>
      <c r="D54" s="13">
        <v>21</v>
      </c>
      <c r="E54" s="13">
        <v>660</v>
      </c>
      <c r="F54" s="13">
        <v>13860</v>
      </c>
    </row>
    <row r="55" spans="1:6" x14ac:dyDescent="0.3">
      <c r="A55" s="13" t="s">
        <v>131</v>
      </c>
      <c r="B55" s="13" t="s">
        <v>132</v>
      </c>
      <c r="C55" s="13" t="s">
        <v>16</v>
      </c>
      <c r="D55" s="13">
        <v>36</v>
      </c>
      <c r="E55" s="13">
        <v>1050</v>
      </c>
      <c r="F55" s="13">
        <v>37800</v>
      </c>
    </row>
    <row r="56" spans="1:6" x14ac:dyDescent="0.3">
      <c r="A56" s="13" t="s">
        <v>133</v>
      </c>
      <c r="B56" s="13" t="s">
        <v>134</v>
      </c>
      <c r="C56" s="13" t="s">
        <v>16</v>
      </c>
      <c r="D56" s="13">
        <v>24</v>
      </c>
      <c r="E56" s="13">
        <v>250</v>
      </c>
      <c r="F56" s="13">
        <v>6000</v>
      </c>
    </row>
    <row r="57" spans="1:6" x14ac:dyDescent="0.3">
      <c r="A57" s="13" t="s">
        <v>135</v>
      </c>
      <c r="B57" s="13" t="s">
        <v>136</v>
      </c>
      <c r="C57" s="13" t="s">
        <v>16</v>
      </c>
      <c r="D57" s="13">
        <v>23</v>
      </c>
      <c r="E57" s="13">
        <v>30</v>
      </c>
      <c r="F57" s="13">
        <v>690</v>
      </c>
    </row>
    <row r="58" spans="1:6" x14ac:dyDescent="0.3">
      <c r="A58" s="13" t="s">
        <v>137</v>
      </c>
      <c r="B58" s="13" t="s">
        <v>138</v>
      </c>
      <c r="C58" s="13" t="s">
        <v>16</v>
      </c>
      <c r="D58" s="13">
        <v>15</v>
      </c>
      <c r="E58" s="13">
        <v>150</v>
      </c>
      <c r="F58" s="13">
        <v>2250</v>
      </c>
    </row>
    <row r="59" spans="1:6" x14ac:dyDescent="0.3">
      <c r="A59" s="13" t="s">
        <v>139</v>
      </c>
      <c r="B59" s="13" t="s">
        <v>140</v>
      </c>
      <c r="C59" s="13" t="s">
        <v>16</v>
      </c>
      <c r="D59" s="13">
        <v>62</v>
      </c>
      <c r="E59" s="13">
        <v>60</v>
      </c>
      <c r="F59" s="13">
        <v>3720</v>
      </c>
    </row>
    <row r="60" spans="1:6" x14ac:dyDescent="0.3">
      <c r="A60" s="13" t="s">
        <v>141</v>
      </c>
      <c r="B60" s="13" t="s">
        <v>142</v>
      </c>
      <c r="C60" s="13" t="s">
        <v>16</v>
      </c>
      <c r="D60" s="13">
        <v>23</v>
      </c>
      <c r="E60" s="13">
        <v>30</v>
      </c>
      <c r="F60" s="13">
        <v>690</v>
      </c>
    </row>
    <row r="61" spans="1:6" x14ac:dyDescent="0.3">
      <c r="A61" s="13" t="s">
        <v>143</v>
      </c>
      <c r="B61" s="13" t="s">
        <v>144</v>
      </c>
      <c r="C61" s="13" t="s">
        <v>16</v>
      </c>
      <c r="D61" s="13">
        <v>27</v>
      </c>
      <c r="E61" s="13">
        <v>40</v>
      </c>
      <c r="F61" s="13">
        <v>1080</v>
      </c>
    </row>
    <row r="62" spans="1:6" x14ac:dyDescent="0.3">
      <c r="A62" s="13" t="s">
        <v>145</v>
      </c>
      <c r="B62" s="13" t="s">
        <v>146</v>
      </c>
      <c r="C62" s="13" t="s">
        <v>147</v>
      </c>
      <c r="D62" s="13">
        <v>37</v>
      </c>
      <c r="E62" s="13">
        <v>1150</v>
      </c>
      <c r="F62" s="13">
        <v>42550</v>
      </c>
    </row>
    <row r="63" spans="1:6" x14ac:dyDescent="0.3">
      <c r="A63" s="13" t="s">
        <v>148</v>
      </c>
      <c r="B63" s="13" t="s">
        <v>149</v>
      </c>
      <c r="C63" s="13" t="s">
        <v>147</v>
      </c>
      <c r="D63" s="13">
        <v>28</v>
      </c>
      <c r="E63" s="13">
        <v>2450</v>
      </c>
      <c r="F63" s="13">
        <v>68600</v>
      </c>
    </row>
    <row r="64" spans="1:6" x14ac:dyDescent="0.3">
      <c r="A64" s="13" t="s">
        <v>150</v>
      </c>
      <c r="B64" s="13" t="s">
        <v>151</v>
      </c>
      <c r="C64" s="13" t="s">
        <v>147</v>
      </c>
      <c r="D64" s="13">
        <v>5</v>
      </c>
      <c r="E64" s="13">
        <v>2599</v>
      </c>
      <c r="F64" s="13">
        <v>12995</v>
      </c>
    </row>
    <row r="65" spans="1:6" x14ac:dyDescent="0.3">
      <c r="A65" s="13" t="s">
        <v>152</v>
      </c>
      <c r="B65" s="13" t="s">
        <v>153</v>
      </c>
      <c r="C65" s="13" t="s">
        <v>147</v>
      </c>
      <c r="D65" s="13">
        <v>18</v>
      </c>
      <c r="E65" s="13">
        <v>3499</v>
      </c>
      <c r="F65" s="13">
        <v>62982</v>
      </c>
    </row>
    <row r="66" spans="1:6" x14ac:dyDescent="0.3">
      <c r="A66" s="13" t="s">
        <v>154</v>
      </c>
      <c r="B66" s="13" t="s">
        <v>155</v>
      </c>
      <c r="C66" s="13" t="s">
        <v>147</v>
      </c>
      <c r="D66" s="13">
        <v>27</v>
      </c>
      <c r="E66" s="13">
        <v>4599</v>
      </c>
      <c r="F66" s="13">
        <v>124173</v>
      </c>
    </row>
    <row r="67" spans="1:6" x14ac:dyDescent="0.3">
      <c r="A67" s="13" t="s">
        <v>156</v>
      </c>
      <c r="B67" s="13" t="s">
        <v>157</v>
      </c>
      <c r="C67" s="13" t="s">
        <v>147</v>
      </c>
      <c r="D67" s="13">
        <v>12</v>
      </c>
      <c r="E67" s="13">
        <v>12599</v>
      </c>
      <c r="F67" s="13">
        <v>151188</v>
      </c>
    </row>
    <row r="68" spans="1:6" x14ac:dyDescent="0.3">
      <c r="A68" s="13" t="s">
        <v>158</v>
      </c>
      <c r="B68" s="13" t="s">
        <v>159</v>
      </c>
      <c r="C68" s="13" t="s">
        <v>147</v>
      </c>
      <c r="D68" s="13">
        <v>9</v>
      </c>
      <c r="E68" s="13">
        <v>9500</v>
      </c>
      <c r="F68" s="13">
        <v>85500</v>
      </c>
    </row>
    <row r="69" spans="1:6" x14ac:dyDescent="0.3">
      <c r="A69" s="13" t="s">
        <v>160</v>
      </c>
      <c r="B69" s="13" t="s">
        <v>161</v>
      </c>
      <c r="C69" s="13" t="s">
        <v>147</v>
      </c>
      <c r="D69" s="13">
        <v>4</v>
      </c>
      <c r="E69" s="13">
        <v>9899</v>
      </c>
      <c r="F69" s="13">
        <v>39596</v>
      </c>
    </row>
    <row r="70" spans="1:6" x14ac:dyDescent="0.3">
      <c r="A70" s="13" t="s">
        <v>162</v>
      </c>
      <c r="B70" s="13" t="s">
        <v>163</v>
      </c>
      <c r="C70" s="13" t="s">
        <v>147</v>
      </c>
      <c r="D70" s="13">
        <v>17</v>
      </c>
      <c r="E70" s="13">
        <v>2688</v>
      </c>
      <c r="F70" s="13">
        <v>45696</v>
      </c>
    </row>
    <row r="71" spans="1:6" x14ac:dyDescent="0.3">
      <c r="A71" s="13" t="s">
        <v>164</v>
      </c>
      <c r="B71" s="13" t="s">
        <v>165</v>
      </c>
      <c r="C71" s="13" t="s">
        <v>147</v>
      </c>
      <c r="D71" s="13">
        <v>8</v>
      </c>
      <c r="E71" s="13">
        <v>3500</v>
      </c>
      <c r="F71" s="13">
        <v>28000</v>
      </c>
    </row>
    <row r="72" spans="1:6" x14ac:dyDescent="0.3">
      <c r="A72" s="13" t="s">
        <v>166</v>
      </c>
      <c r="B72" s="13" t="s">
        <v>167</v>
      </c>
      <c r="C72" s="13" t="s">
        <v>147</v>
      </c>
      <c r="D72" s="13">
        <v>5</v>
      </c>
      <c r="E72" s="13">
        <v>1200</v>
      </c>
      <c r="F72" s="13">
        <v>6000</v>
      </c>
    </row>
    <row r="73" spans="1:6" x14ac:dyDescent="0.3">
      <c r="A73" s="13" t="s">
        <v>168</v>
      </c>
      <c r="B73" s="13" t="s">
        <v>169</v>
      </c>
      <c r="C73" s="13" t="s">
        <v>147</v>
      </c>
      <c r="D73" s="13">
        <v>6</v>
      </c>
      <c r="E73" s="13">
        <v>12899</v>
      </c>
      <c r="F73" s="13">
        <v>77394</v>
      </c>
    </row>
    <row r="74" spans="1:6" x14ac:dyDescent="0.3">
      <c r="A74" s="13" t="s">
        <v>170</v>
      </c>
      <c r="B74" s="13" t="s">
        <v>171</v>
      </c>
      <c r="C74" s="13" t="s">
        <v>147</v>
      </c>
      <c r="D74" s="13">
        <v>23</v>
      </c>
      <c r="E74" s="13">
        <v>1250</v>
      </c>
      <c r="F74" s="13">
        <v>28750</v>
      </c>
    </row>
    <row r="75" spans="1:6" x14ac:dyDescent="0.3">
      <c r="A75" s="13" t="s">
        <v>172</v>
      </c>
      <c r="B75" s="13" t="s">
        <v>173</v>
      </c>
      <c r="C75" s="13" t="s">
        <v>147</v>
      </c>
      <c r="D75" s="13">
        <v>7</v>
      </c>
      <c r="E75" s="13">
        <v>26000</v>
      </c>
      <c r="F75" s="13">
        <v>182000</v>
      </c>
    </row>
    <row r="76" spans="1:6" x14ac:dyDescent="0.3">
      <c r="A76" s="13" t="s">
        <v>174</v>
      </c>
      <c r="B76" s="13" t="s">
        <v>175</v>
      </c>
      <c r="C76" s="13" t="s">
        <v>147</v>
      </c>
      <c r="D76" s="13">
        <v>10</v>
      </c>
      <c r="E76" s="13">
        <v>1200</v>
      </c>
      <c r="F76" s="13">
        <v>12000</v>
      </c>
    </row>
    <row r="77" spans="1:6" x14ac:dyDescent="0.3">
      <c r="A77" s="13" t="s">
        <v>176</v>
      </c>
      <c r="B77" s="13" t="s">
        <v>177</v>
      </c>
      <c r="C77" s="13" t="s">
        <v>147</v>
      </c>
      <c r="D77" s="13">
        <v>8</v>
      </c>
      <c r="E77" s="13">
        <v>12600</v>
      </c>
      <c r="F77" s="13">
        <v>100800</v>
      </c>
    </row>
    <row r="78" spans="1:6" x14ac:dyDescent="0.3">
      <c r="A78" s="13" t="s">
        <v>178</v>
      </c>
      <c r="B78" s="13" t="s">
        <v>179</v>
      </c>
      <c r="C78" s="13" t="s">
        <v>147</v>
      </c>
      <c r="D78" s="13">
        <v>7</v>
      </c>
      <c r="E78" s="13">
        <v>5700</v>
      </c>
      <c r="F78" s="13">
        <v>39900</v>
      </c>
    </row>
    <row r="79" spans="1:6" x14ac:dyDescent="0.3">
      <c r="A79" s="13" t="s">
        <v>180</v>
      </c>
      <c r="B79" s="13" t="s">
        <v>181</v>
      </c>
      <c r="C79" s="13" t="s">
        <v>147</v>
      </c>
      <c r="D79" s="13">
        <v>13</v>
      </c>
      <c r="E79" s="13">
        <v>10500</v>
      </c>
      <c r="F79" s="13">
        <v>136500</v>
      </c>
    </row>
    <row r="80" spans="1:6" x14ac:dyDescent="0.3">
      <c r="A80" s="13" t="s">
        <v>182</v>
      </c>
      <c r="B80" s="13" t="s">
        <v>183</v>
      </c>
      <c r="C80" s="13" t="s">
        <v>147</v>
      </c>
      <c r="D80" s="13">
        <v>14</v>
      </c>
      <c r="E80" s="13">
        <v>2799</v>
      </c>
      <c r="F80" s="13">
        <v>39186</v>
      </c>
    </row>
    <row r="81" spans="1:6" x14ac:dyDescent="0.3">
      <c r="A81" s="13" t="s">
        <v>184</v>
      </c>
      <c r="B81" s="13" t="s">
        <v>185</v>
      </c>
      <c r="C81" s="13" t="s">
        <v>147</v>
      </c>
      <c r="D81" s="13">
        <v>21</v>
      </c>
      <c r="E81" s="13">
        <v>1699</v>
      </c>
      <c r="F81" s="13">
        <v>35679</v>
      </c>
    </row>
    <row r="82" spans="1:6" x14ac:dyDescent="0.3">
      <c r="A82" s="13" t="s">
        <v>230</v>
      </c>
      <c r="B82" s="13" t="s">
        <v>224</v>
      </c>
      <c r="C82" s="13" t="s">
        <v>11</v>
      </c>
      <c r="D82" s="13">
        <v>20</v>
      </c>
      <c r="E82" s="13">
        <v>55000</v>
      </c>
      <c r="F82" s="13">
        <v>1100000</v>
      </c>
    </row>
    <row r="83" spans="1:6" x14ac:dyDescent="0.3">
      <c r="A83" s="13"/>
      <c r="B83" s="13"/>
      <c r="C83" s="13"/>
      <c r="D83" s="13"/>
      <c r="E83" s="13"/>
      <c r="F83" s="13"/>
    </row>
    <row r="84" spans="1:6" x14ac:dyDescent="0.3">
      <c r="A84" s="13"/>
      <c r="B84" s="13"/>
      <c r="C84" s="13"/>
      <c r="D84" s="13"/>
      <c r="E84" s="13"/>
      <c r="F84" s="13"/>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DCB3D-4573-418B-957F-6BA5EA2B4BB2}">
  <sheetPr codeName="Sheet4"/>
  <dimension ref="A1:H28"/>
  <sheetViews>
    <sheetView workbookViewId="0">
      <selection activeCell="G19" sqref="G19"/>
    </sheetView>
  </sheetViews>
  <sheetFormatPr defaultRowHeight="14.4" x14ac:dyDescent="0.3"/>
  <cols>
    <col min="1" max="1" width="9.88671875" bestFit="1" customWidth="1"/>
    <col min="2" max="2" width="17.77734375" bestFit="1" customWidth="1"/>
    <col min="3" max="3" width="9.88671875" bestFit="1" customWidth="1"/>
    <col min="4" max="4" width="5.6640625" bestFit="1" customWidth="1"/>
    <col min="5" max="5" width="12.44140625" bestFit="1" customWidth="1"/>
    <col min="6" max="6" width="12.21875" customWidth="1"/>
    <col min="7" max="7" width="22.44140625" bestFit="1" customWidth="1"/>
    <col min="8" max="8" width="3" bestFit="1" customWidth="1"/>
  </cols>
  <sheetData>
    <row r="1" spans="1:8" x14ac:dyDescent="0.3">
      <c r="A1" s="14" t="s">
        <v>18</v>
      </c>
      <c r="B1" s="14" t="s">
        <v>19</v>
      </c>
      <c r="C1" s="14" t="s">
        <v>2</v>
      </c>
      <c r="D1" s="14" t="s">
        <v>20</v>
      </c>
      <c r="E1" s="14" t="s">
        <v>21</v>
      </c>
    </row>
    <row r="2" spans="1:8" x14ac:dyDescent="0.3">
      <c r="A2" s="15" t="s">
        <v>9</v>
      </c>
      <c r="B2" s="15" t="s">
        <v>27</v>
      </c>
      <c r="C2" s="15" t="s">
        <v>11</v>
      </c>
      <c r="D2" s="15">
        <v>20</v>
      </c>
      <c r="E2" s="15">
        <v>20</v>
      </c>
    </row>
    <row r="3" spans="1:8" x14ac:dyDescent="0.3">
      <c r="A3" s="15" t="s">
        <v>14</v>
      </c>
      <c r="B3" s="15" t="s">
        <v>28</v>
      </c>
      <c r="C3" s="15" t="s">
        <v>11</v>
      </c>
      <c r="D3" s="15">
        <v>12</v>
      </c>
      <c r="E3" s="15">
        <v>15</v>
      </c>
      <c r="G3" s="56" t="s">
        <v>229</v>
      </c>
      <c r="H3" s="56">
        <v>27</v>
      </c>
    </row>
    <row r="4" spans="1:8" x14ac:dyDescent="0.3">
      <c r="A4" s="15" t="s">
        <v>25</v>
      </c>
      <c r="B4" s="15" t="s">
        <v>29</v>
      </c>
      <c r="C4" s="15" t="s">
        <v>11</v>
      </c>
      <c r="D4" s="15">
        <v>9</v>
      </c>
      <c r="E4" s="15">
        <v>11</v>
      </c>
    </row>
    <row r="5" spans="1:8" x14ac:dyDescent="0.3">
      <c r="A5" s="15" t="s">
        <v>46</v>
      </c>
      <c r="B5" s="15" t="s">
        <v>47</v>
      </c>
      <c r="C5" s="15" t="s">
        <v>11</v>
      </c>
      <c r="D5" s="15">
        <v>12</v>
      </c>
      <c r="E5" s="15">
        <v>12</v>
      </c>
    </row>
    <row r="6" spans="1:8" x14ac:dyDescent="0.3">
      <c r="A6" s="15" t="s">
        <v>48</v>
      </c>
      <c r="B6" s="15" t="s">
        <v>49</v>
      </c>
      <c r="C6" s="15" t="s">
        <v>11</v>
      </c>
      <c r="D6" s="15">
        <v>3</v>
      </c>
      <c r="E6" s="15">
        <v>10</v>
      </c>
    </row>
    <row r="7" spans="1:8" x14ac:dyDescent="0.3">
      <c r="A7" s="15" t="s">
        <v>52</v>
      </c>
      <c r="B7" s="15" t="s">
        <v>53</v>
      </c>
      <c r="C7" s="15" t="s">
        <v>11</v>
      </c>
      <c r="D7" s="15">
        <v>10</v>
      </c>
      <c r="E7" s="15">
        <v>10</v>
      </c>
    </row>
    <row r="8" spans="1:8" x14ac:dyDescent="0.3">
      <c r="A8" s="15" t="s">
        <v>56</v>
      </c>
      <c r="B8" s="15" t="s">
        <v>57</v>
      </c>
      <c r="C8" s="15" t="s">
        <v>11</v>
      </c>
      <c r="D8" s="15">
        <v>6</v>
      </c>
      <c r="E8" s="15">
        <v>10</v>
      </c>
    </row>
    <row r="9" spans="1:8" x14ac:dyDescent="0.3">
      <c r="A9" s="15" t="s">
        <v>69</v>
      </c>
      <c r="B9" s="15" t="s">
        <v>70</v>
      </c>
      <c r="C9" s="15" t="s">
        <v>66</v>
      </c>
      <c r="D9" s="15">
        <v>12</v>
      </c>
      <c r="E9" s="15">
        <v>18</v>
      </c>
    </row>
    <row r="10" spans="1:8" x14ac:dyDescent="0.3">
      <c r="A10" s="15" t="s">
        <v>71</v>
      </c>
      <c r="B10" s="15" t="s">
        <v>72</v>
      </c>
      <c r="C10" s="15" t="s">
        <v>66</v>
      </c>
      <c r="D10" s="15">
        <v>20</v>
      </c>
      <c r="E10" s="15">
        <v>25</v>
      </c>
    </row>
    <row r="11" spans="1:8" x14ac:dyDescent="0.3">
      <c r="A11" s="15" t="s">
        <v>73</v>
      </c>
      <c r="B11" s="15" t="s">
        <v>74</v>
      </c>
      <c r="C11" s="15" t="s">
        <v>66</v>
      </c>
      <c r="D11" s="15">
        <v>25</v>
      </c>
      <c r="E11" s="15">
        <v>30</v>
      </c>
    </row>
    <row r="12" spans="1:8" x14ac:dyDescent="0.3">
      <c r="A12" s="15" t="s">
        <v>79</v>
      </c>
      <c r="B12" s="15" t="s">
        <v>80</v>
      </c>
      <c r="C12" s="15" t="s">
        <v>66</v>
      </c>
      <c r="D12" s="15">
        <v>16</v>
      </c>
      <c r="E12" s="15">
        <v>25</v>
      </c>
    </row>
    <row r="13" spans="1:8" x14ac:dyDescent="0.3">
      <c r="A13" s="15" t="s">
        <v>93</v>
      </c>
      <c r="B13" s="15" t="s">
        <v>94</v>
      </c>
      <c r="C13" s="15" t="s">
        <v>66</v>
      </c>
      <c r="D13" s="15">
        <v>20</v>
      </c>
      <c r="E13" s="15">
        <v>25</v>
      </c>
    </row>
    <row r="14" spans="1:8" x14ac:dyDescent="0.3">
      <c r="A14" s="15" t="s">
        <v>103</v>
      </c>
      <c r="B14" s="15" t="s">
        <v>104</v>
      </c>
      <c r="C14" s="15" t="s">
        <v>66</v>
      </c>
      <c r="D14" s="15">
        <v>14</v>
      </c>
      <c r="E14" s="15">
        <v>25</v>
      </c>
    </row>
    <row r="15" spans="1:8" x14ac:dyDescent="0.3">
      <c r="A15" s="15" t="s">
        <v>111</v>
      </c>
      <c r="B15" s="15" t="s">
        <v>112</v>
      </c>
      <c r="C15" s="15" t="s">
        <v>16</v>
      </c>
      <c r="D15" s="15">
        <v>12</v>
      </c>
      <c r="E15" s="15">
        <v>20</v>
      </c>
    </row>
    <row r="16" spans="1:8" x14ac:dyDescent="0.3">
      <c r="A16" s="15" t="s">
        <v>119</v>
      </c>
      <c r="B16" s="15" t="s">
        <v>120</v>
      </c>
      <c r="C16" s="15" t="s">
        <v>16</v>
      </c>
      <c r="D16" s="15">
        <v>24</v>
      </c>
      <c r="E16" s="15">
        <v>30</v>
      </c>
    </row>
    <row r="17" spans="1:5" x14ac:dyDescent="0.3">
      <c r="A17" s="15" t="s">
        <v>125</v>
      </c>
      <c r="B17" s="15" t="s">
        <v>126</v>
      </c>
      <c r="C17" s="15" t="s">
        <v>16</v>
      </c>
      <c r="D17" s="15">
        <v>21</v>
      </c>
      <c r="E17" s="15">
        <v>45</v>
      </c>
    </row>
    <row r="18" spans="1:5" x14ac:dyDescent="0.3">
      <c r="A18" s="15" t="s">
        <v>127</v>
      </c>
      <c r="B18" s="15" t="s">
        <v>128</v>
      </c>
      <c r="C18" s="15" t="s">
        <v>16</v>
      </c>
      <c r="D18" s="15">
        <v>24</v>
      </c>
      <c r="E18" s="15">
        <v>25</v>
      </c>
    </row>
    <row r="19" spans="1:5" x14ac:dyDescent="0.3">
      <c r="A19" s="15" t="s">
        <v>129</v>
      </c>
      <c r="B19" s="15" t="s">
        <v>130</v>
      </c>
      <c r="C19" s="15" t="s">
        <v>16</v>
      </c>
      <c r="D19" s="15">
        <v>21</v>
      </c>
      <c r="E19" s="15">
        <v>24</v>
      </c>
    </row>
    <row r="20" spans="1:5" x14ac:dyDescent="0.3">
      <c r="A20" s="15" t="s">
        <v>133</v>
      </c>
      <c r="B20" s="15" t="s">
        <v>134</v>
      </c>
      <c r="C20" s="15" t="s">
        <v>16</v>
      </c>
      <c r="D20" s="15">
        <v>24</v>
      </c>
      <c r="E20" s="15">
        <v>30</v>
      </c>
    </row>
    <row r="21" spans="1:5" x14ac:dyDescent="0.3">
      <c r="A21" s="15" t="s">
        <v>135</v>
      </c>
      <c r="B21" s="15" t="s">
        <v>136</v>
      </c>
      <c r="C21" s="15" t="s">
        <v>16</v>
      </c>
      <c r="D21" s="15">
        <v>23</v>
      </c>
      <c r="E21" s="15">
        <v>24</v>
      </c>
    </row>
    <row r="22" spans="1:5" x14ac:dyDescent="0.3">
      <c r="A22" s="15" t="s">
        <v>137</v>
      </c>
      <c r="B22" s="15" t="s">
        <v>138</v>
      </c>
      <c r="C22" s="15" t="s">
        <v>16</v>
      </c>
      <c r="D22" s="15">
        <v>15</v>
      </c>
      <c r="E22" s="15">
        <v>30</v>
      </c>
    </row>
    <row r="23" spans="1:5" x14ac:dyDescent="0.3">
      <c r="A23" s="15" t="s">
        <v>141</v>
      </c>
      <c r="B23" s="15" t="s">
        <v>142</v>
      </c>
      <c r="C23" s="15" t="s">
        <v>16</v>
      </c>
      <c r="D23" s="15">
        <v>23</v>
      </c>
      <c r="E23" s="15">
        <v>50</v>
      </c>
    </row>
    <row r="24" spans="1:5" x14ac:dyDescent="0.3">
      <c r="A24" s="15" t="s">
        <v>143</v>
      </c>
      <c r="B24" s="15" t="s">
        <v>144</v>
      </c>
      <c r="C24" s="15" t="s">
        <v>16</v>
      </c>
      <c r="D24" s="15">
        <v>27</v>
      </c>
      <c r="E24" s="15">
        <v>30</v>
      </c>
    </row>
    <row r="25" spans="1:5" x14ac:dyDescent="0.3">
      <c r="A25" s="15" t="s">
        <v>150</v>
      </c>
      <c r="B25" s="15" t="s">
        <v>151</v>
      </c>
      <c r="C25" s="15" t="s">
        <v>147</v>
      </c>
      <c r="D25" s="15">
        <v>5</v>
      </c>
      <c r="E25" s="15">
        <v>6</v>
      </c>
    </row>
    <row r="26" spans="1:5" x14ac:dyDescent="0.3">
      <c r="A26" s="15" t="s">
        <v>166</v>
      </c>
      <c r="B26" s="15" t="s">
        <v>167</v>
      </c>
      <c r="C26" s="15" t="s">
        <v>147</v>
      </c>
      <c r="D26" s="15">
        <v>5</v>
      </c>
      <c r="E26" s="15">
        <v>6</v>
      </c>
    </row>
    <row r="27" spans="1:5" x14ac:dyDescent="0.3">
      <c r="A27" s="15" t="s">
        <v>174</v>
      </c>
      <c r="B27" s="15" t="s">
        <v>175</v>
      </c>
      <c r="C27" s="15" t="s">
        <v>147</v>
      </c>
      <c r="D27" s="15">
        <v>10</v>
      </c>
      <c r="E27" s="15">
        <v>12</v>
      </c>
    </row>
    <row r="28" spans="1:5" x14ac:dyDescent="0.3">
      <c r="A28" s="15" t="s">
        <v>230</v>
      </c>
      <c r="B28" s="15" t="s">
        <v>224</v>
      </c>
      <c r="C28" s="15" t="s">
        <v>11</v>
      </c>
      <c r="D28" s="15">
        <v>20</v>
      </c>
      <c r="E28" s="15">
        <v>5</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C2A134-53FF-460A-A01C-37CE3A77FD34}">
  <sheetPr codeName="Sheet8"/>
  <dimension ref="A1:E5"/>
  <sheetViews>
    <sheetView workbookViewId="0"/>
  </sheetViews>
  <sheetFormatPr defaultRowHeight="14.4" x14ac:dyDescent="0.3"/>
  <sheetData>
    <row r="1" spans="1:5" x14ac:dyDescent="0.3">
      <c r="A1" t="s">
        <v>2</v>
      </c>
      <c r="B1" t="s">
        <v>24</v>
      </c>
      <c r="C1" t="s">
        <v>192</v>
      </c>
      <c r="D1" t="s">
        <v>193</v>
      </c>
      <c r="E1" t="s">
        <v>194</v>
      </c>
    </row>
    <row r="2" spans="1:5" x14ac:dyDescent="0.3">
      <c r="A2" t="s">
        <v>11</v>
      </c>
      <c r="B2">
        <v>0</v>
      </c>
      <c r="C2">
        <v>0</v>
      </c>
      <c r="D2">
        <v>0</v>
      </c>
      <c r="E2">
        <v>0</v>
      </c>
    </row>
    <row r="3" spans="1:5" x14ac:dyDescent="0.3">
      <c r="A3" t="s">
        <v>66</v>
      </c>
      <c r="B3">
        <v>0</v>
      </c>
      <c r="C3">
        <v>0</v>
      </c>
      <c r="D3">
        <v>0</v>
      </c>
      <c r="E3">
        <v>0</v>
      </c>
    </row>
    <row r="4" spans="1:5" x14ac:dyDescent="0.3">
      <c r="A4" t="s">
        <v>16</v>
      </c>
      <c r="B4">
        <v>0</v>
      </c>
      <c r="C4">
        <v>0</v>
      </c>
      <c r="D4">
        <v>0</v>
      </c>
      <c r="E4">
        <v>0</v>
      </c>
    </row>
    <row r="5" spans="1:5" x14ac:dyDescent="0.3">
      <c r="A5" t="s">
        <v>147</v>
      </c>
      <c r="B5">
        <v>0</v>
      </c>
      <c r="C5">
        <v>0</v>
      </c>
      <c r="D5">
        <v>0</v>
      </c>
      <c r="E5">
        <v>0</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C94624-1D4D-4DE7-8974-982AD333BA35}">
  <sheetPr codeName="Sheet7"/>
  <dimension ref="A1"/>
  <sheetViews>
    <sheetView zoomScale="76" zoomScaleNormal="100" workbookViewId="0">
      <selection activeCell="I27" sqref="I27"/>
    </sheetView>
  </sheetViews>
  <sheetFormatPr defaultRowHeight="14.4" x14ac:dyDescent="0.3"/>
  <cols>
    <col min="1" max="1" width="13.5546875" bestFit="1" customWidth="1"/>
    <col min="2" max="2" width="20.109375" bestFit="1" customWidth="1"/>
  </cols>
  <sheetData/>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EB90EE-3CA2-410A-A38A-6CE3D23E65B4}">
  <sheetPr codeName="Sheet5"/>
  <dimension ref="A1"/>
  <sheetViews>
    <sheetView showGridLines="0" topLeftCell="D20" zoomScale="97" zoomScaleNormal="100" workbookViewId="0">
      <selection activeCell="C4" sqref="C4"/>
    </sheetView>
  </sheetViews>
  <sheetFormatPr defaultRowHeight="14.4" x14ac:dyDescent="0.3"/>
  <sheetData/>
  <pageMargins left="0.7" right="0.7" top="0.75" bottom="0.75" header="0.3" footer="0.3"/>
  <pageSetup orientation="portrait" r:id="rId1"/>
  <drawing r:id="rId2"/>
  <extLst>
    <ext xmlns:x14="http://schemas.microsoft.com/office/spreadsheetml/2009/9/main" uri="{A8765BA9-456A-4dab-B4F3-ACF838C121DE}">
      <x14:slicerList>
        <x14:slicer r:id="rId3"/>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93C600-7C2C-4FC2-960E-F50F2B7678B0}">
  <sheetPr codeName="Sheet6"/>
  <dimension ref="A1:L84"/>
  <sheetViews>
    <sheetView topLeftCell="D61" workbookViewId="0">
      <selection activeCell="Q73" sqref="Q73"/>
    </sheetView>
  </sheetViews>
  <sheetFormatPr defaultRowHeight="14.4" x14ac:dyDescent="0.3"/>
  <cols>
    <col min="1" max="1" width="12.5546875" bestFit="1" customWidth="1"/>
    <col min="2" max="2" width="16.6640625" bestFit="1" customWidth="1"/>
    <col min="9" max="9" width="19.6640625" bestFit="1" customWidth="1"/>
    <col min="10" max="10" width="14.33203125" bestFit="1" customWidth="1"/>
    <col min="11" max="11" width="16.6640625" bestFit="1" customWidth="1"/>
    <col min="12" max="12" width="12.6640625" bestFit="1" customWidth="1"/>
    <col min="13" max="13" width="9.6640625" bestFit="1" customWidth="1"/>
    <col min="14" max="14" width="7" bestFit="1" customWidth="1"/>
    <col min="15" max="15" width="10.77734375" bestFit="1" customWidth="1"/>
    <col min="16" max="16" width="7" bestFit="1" customWidth="1"/>
    <col min="17" max="17" width="10.77734375" bestFit="1" customWidth="1"/>
  </cols>
  <sheetData>
    <row r="1" spans="1:10" ht="15" thickBot="1" x14ac:dyDescent="0.35">
      <c r="A1" s="19"/>
      <c r="B1" s="20"/>
      <c r="C1" s="20"/>
      <c r="D1" s="20"/>
      <c r="E1" s="20"/>
      <c r="F1" s="20"/>
      <c r="G1" s="21"/>
    </row>
    <row r="2" spans="1:10" ht="15" thickBot="1" x14ac:dyDescent="0.35">
      <c r="A2" s="44" t="s">
        <v>201</v>
      </c>
      <c r="B2" s="45"/>
      <c r="C2" s="45"/>
      <c r="D2" s="45"/>
      <c r="G2" s="22"/>
      <c r="I2" s="37" t="s">
        <v>206</v>
      </c>
      <c r="J2" s="21"/>
    </row>
    <row r="3" spans="1:10" ht="15" thickBot="1" x14ac:dyDescent="0.35">
      <c r="A3" s="33" t="s">
        <v>195</v>
      </c>
      <c r="B3" s="35" t="s">
        <v>198</v>
      </c>
      <c r="G3" s="22"/>
      <c r="I3" s="35" t="s">
        <v>205</v>
      </c>
      <c r="J3" s="22"/>
    </row>
    <row r="4" spans="1:10" ht="15" thickBot="1" x14ac:dyDescent="0.35">
      <c r="A4" s="36" t="s">
        <v>11</v>
      </c>
      <c r="B4" s="52">
        <v>22</v>
      </c>
      <c r="G4" s="22"/>
      <c r="I4" s="55">
        <v>83</v>
      </c>
      <c r="J4" s="28">
        <f>GETPIVOTDATA("Product_ID",$I$3)</f>
        <v>83</v>
      </c>
    </row>
    <row r="5" spans="1:10" x14ac:dyDescent="0.3">
      <c r="A5" s="31" t="s">
        <v>147</v>
      </c>
      <c r="B5" s="53">
        <v>20</v>
      </c>
      <c r="G5" s="22"/>
    </row>
    <row r="6" spans="1:10" x14ac:dyDescent="0.3">
      <c r="A6" s="31" t="s">
        <v>66</v>
      </c>
      <c r="B6" s="53">
        <v>21</v>
      </c>
      <c r="G6" s="22"/>
    </row>
    <row r="7" spans="1:10" ht="15" thickBot="1" x14ac:dyDescent="0.35">
      <c r="A7" s="31" t="s">
        <v>16</v>
      </c>
      <c r="B7" s="53">
        <v>20</v>
      </c>
      <c r="G7" s="22"/>
      <c r="I7" t="s">
        <v>207</v>
      </c>
    </row>
    <row r="8" spans="1:10" ht="15" thickBot="1" x14ac:dyDescent="0.35">
      <c r="A8" s="32" t="s">
        <v>196</v>
      </c>
      <c r="B8" s="53"/>
      <c r="G8" s="22"/>
      <c r="I8" s="35" t="s">
        <v>208</v>
      </c>
    </row>
    <row r="9" spans="1:10" ht="15" thickBot="1" x14ac:dyDescent="0.35">
      <c r="A9" s="34" t="s">
        <v>197</v>
      </c>
      <c r="B9" s="54">
        <v>83</v>
      </c>
      <c r="G9" s="22"/>
      <c r="I9" s="55">
        <v>2080</v>
      </c>
    </row>
    <row r="10" spans="1:10" x14ac:dyDescent="0.3">
      <c r="A10" s="25"/>
      <c r="G10" s="22"/>
    </row>
    <row r="11" spans="1:10" x14ac:dyDescent="0.3">
      <c r="A11" s="25"/>
      <c r="G11" s="22"/>
    </row>
    <row r="12" spans="1:10" ht="15" thickBot="1" x14ac:dyDescent="0.35">
      <c r="A12" s="26"/>
      <c r="B12" s="27"/>
      <c r="C12" s="27"/>
      <c r="D12" s="27"/>
      <c r="E12" s="27"/>
      <c r="F12" s="27"/>
      <c r="G12" s="28"/>
    </row>
    <row r="13" spans="1:10" ht="15" thickBot="1" x14ac:dyDescent="0.35"/>
    <row r="14" spans="1:10" x14ac:dyDescent="0.3">
      <c r="A14" s="19"/>
      <c r="B14" s="20"/>
      <c r="C14" s="20"/>
      <c r="D14" s="20"/>
      <c r="E14" s="20"/>
      <c r="F14" s="20"/>
      <c r="G14" s="21"/>
    </row>
    <row r="15" spans="1:10" ht="16.2" thickBot="1" x14ac:dyDescent="0.35">
      <c r="A15" s="46" t="s">
        <v>203</v>
      </c>
      <c r="B15" s="47"/>
      <c r="C15" s="47"/>
      <c r="G15" s="22"/>
    </row>
    <row r="16" spans="1:10" ht="15" thickBot="1" x14ac:dyDescent="0.35">
      <c r="A16" s="33" t="s">
        <v>195</v>
      </c>
      <c r="B16" s="35" t="s">
        <v>202</v>
      </c>
      <c r="G16" s="22"/>
    </row>
    <row r="17" spans="1:7" x14ac:dyDescent="0.3">
      <c r="A17" s="36" t="s">
        <v>11</v>
      </c>
      <c r="B17" s="52">
        <v>55000</v>
      </c>
      <c r="G17" s="22"/>
    </row>
    <row r="18" spans="1:7" x14ac:dyDescent="0.3">
      <c r="A18" s="31" t="s">
        <v>147</v>
      </c>
      <c r="B18" s="53">
        <v>128330</v>
      </c>
      <c r="G18" s="22"/>
    </row>
    <row r="19" spans="1:7" x14ac:dyDescent="0.3">
      <c r="A19" s="31" t="s">
        <v>66</v>
      </c>
      <c r="B19" s="53">
        <v>9066</v>
      </c>
      <c r="G19" s="22"/>
    </row>
    <row r="20" spans="1:7" x14ac:dyDescent="0.3">
      <c r="A20" s="31" t="s">
        <v>16</v>
      </c>
      <c r="B20" s="53">
        <v>2755</v>
      </c>
      <c r="G20" s="22"/>
    </row>
    <row r="21" spans="1:7" ht="15" thickBot="1" x14ac:dyDescent="0.35">
      <c r="A21" s="32" t="s">
        <v>196</v>
      </c>
      <c r="B21" s="53"/>
      <c r="G21" s="22"/>
    </row>
    <row r="22" spans="1:7" ht="15" thickBot="1" x14ac:dyDescent="0.35">
      <c r="A22" s="34" t="s">
        <v>197</v>
      </c>
      <c r="B22" s="54">
        <v>195151</v>
      </c>
      <c r="G22" s="22"/>
    </row>
    <row r="23" spans="1:7" ht="15" thickBot="1" x14ac:dyDescent="0.35">
      <c r="A23" s="26"/>
      <c r="B23" s="27"/>
      <c r="C23" s="27"/>
      <c r="D23" s="27"/>
      <c r="E23" s="27"/>
      <c r="F23" s="27"/>
      <c r="G23" s="28"/>
    </row>
    <row r="25" spans="1:7" ht="15" thickBot="1" x14ac:dyDescent="0.35"/>
    <row r="26" spans="1:7" x14ac:dyDescent="0.3">
      <c r="A26" s="50" t="s">
        <v>221</v>
      </c>
      <c r="B26" s="50"/>
      <c r="C26" s="50"/>
      <c r="D26" s="50"/>
      <c r="E26" s="20"/>
      <c r="F26" s="20"/>
      <c r="G26" s="21"/>
    </row>
    <row r="27" spans="1:7" x14ac:dyDescent="0.3">
      <c r="A27" s="23" t="s">
        <v>195</v>
      </c>
      <c r="B27" t="s">
        <v>204</v>
      </c>
      <c r="G27" s="22"/>
    </row>
    <row r="28" spans="1:7" x14ac:dyDescent="0.3">
      <c r="A28" s="24" t="s">
        <v>11</v>
      </c>
      <c r="B28">
        <v>7</v>
      </c>
      <c r="G28" s="22"/>
    </row>
    <row r="29" spans="1:7" x14ac:dyDescent="0.3">
      <c r="A29" s="24" t="s">
        <v>147</v>
      </c>
      <c r="B29">
        <v>3</v>
      </c>
      <c r="G29" s="22"/>
    </row>
    <row r="30" spans="1:7" x14ac:dyDescent="0.3">
      <c r="A30" s="24" t="s">
        <v>66</v>
      </c>
      <c r="B30">
        <v>6</v>
      </c>
      <c r="G30" s="22"/>
    </row>
    <row r="31" spans="1:7" x14ac:dyDescent="0.3">
      <c r="A31" s="24" t="s">
        <v>16</v>
      </c>
      <c r="B31">
        <v>10</v>
      </c>
      <c r="G31" s="22"/>
    </row>
    <row r="32" spans="1:7" x14ac:dyDescent="0.3">
      <c r="A32" s="24" t="s">
        <v>196</v>
      </c>
      <c r="G32" s="22"/>
    </row>
    <row r="33" spans="1:7" x14ac:dyDescent="0.3">
      <c r="A33" s="24" t="s">
        <v>197</v>
      </c>
      <c r="B33">
        <v>26</v>
      </c>
      <c r="G33" s="22"/>
    </row>
    <row r="34" spans="1:7" x14ac:dyDescent="0.3">
      <c r="A34" s="25"/>
      <c r="G34" s="22"/>
    </row>
    <row r="35" spans="1:7" x14ac:dyDescent="0.3">
      <c r="A35" s="25"/>
      <c r="G35" s="22"/>
    </row>
    <row r="36" spans="1:7" ht="15" thickBot="1" x14ac:dyDescent="0.35">
      <c r="A36" s="26"/>
      <c r="B36" s="27"/>
      <c r="C36" s="27"/>
      <c r="D36" s="27"/>
      <c r="E36" s="27"/>
      <c r="F36" s="27"/>
      <c r="G36" s="28"/>
    </row>
    <row r="41" spans="1:7" x14ac:dyDescent="0.3">
      <c r="A41" s="29" t="s">
        <v>2</v>
      </c>
      <c r="B41" t="s">
        <v>11</v>
      </c>
    </row>
    <row r="43" spans="1:7" x14ac:dyDescent="0.3">
      <c r="A43" s="29" t="s">
        <v>195</v>
      </c>
      <c r="B43" t="s">
        <v>211</v>
      </c>
    </row>
    <row r="44" spans="1:7" x14ac:dyDescent="0.3">
      <c r="A44" s="30" t="s">
        <v>9</v>
      </c>
      <c r="B44">
        <v>-5</v>
      </c>
    </row>
    <row r="45" spans="1:7" x14ac:dyDescent="0.3">
      <c r="A45" s="30" t="s">
        <v>14</v>
      </c>
      <c r="B45">
        <v>-4</v>
      </c>
    </row>
    <row r="46" spans="1:7" x14ac:dyDescent="0.3">
      <c r="A46" s="30" t="s">
        <v>25</v>
      </c>
      <c r="B46">
        <v>13</v>
      </c>
    </row>
    <row r="47" spans="1:7" x14ac:dyDescent="0.3">
      <c r="A47" s="30" t="s">
        <v>30</v>
      </c>
      <c r="B47">
        <v>12</v>
      </c>
    </row>
    <row r="48" spans="1:7" x14ac:dyDescent="0.3">
      <c r="A48" s="30" t="s">
        <v>32</v>
      </c>
      <c r="B48">
        <v>5</v>
      </c>
    </row>
    <row r="49" spans="1:2" x14ac:dyDescent="0.3">
      <c r="A49" s="30" t="s">
        <v>34</v>
      </c>
      <c r="B49">
        <v>14</v>
      </c>
    </row>
    <row r="50" spans="1:2" x14ac:dyDescent="0.3">
      <c r="A50" s="30" t="s">
        <v>36</v>
      </c>
      <c r="B50">
        <v>13</v>
      </c>
    </row>
    <row r="51" spans="1:2" x14ac:dyDescent="0.3">
      <c r="A51" s="30" t="s">
        <v>38</v>
      </c>
      <c r="B51">
        <v>15</v>
      </c>
    </row>
    <row r="52" spans="1:2" x14ac:dyDescent="0.3">
      <c r="A52" s="30" t="s">
        <v>40</v>
      </c>
      <c r="B52">
        <v>5</v>
      </c>
    </row>
    <row r="53" spans="1:2" x14ac:dyDescent="0.3">
      <c r="A53" s="30" t="s">
        <v>42</v>
      </c>
      <c r="B53">
        <v>7</v>
      </c>
    </row>
    <row r="54" spans="1:2" x14ac:dyDescent="0.3">
      <c r="A54" s="30" t="s">
        <v>44</v>
      </c>
      <c r="B54">
        <v>1</v>
      </c>
    </row>
    <row r="55" spans="1:2" x14ac:dyDescent="0.3">
      <c r="A55" s="30" t="s">
        <v>46</v>
      </c>
      <c r="B55">
        <v>0</v>
      </c>
    </row>
    <row r="56" spans="1:2" x14ac:dyDescent="0.3">
      <c r="A56" s="30" t="s">
        <v>48</v>
      </c>
      <c r="B56">
        <v>-7</v>
      </c>
    </row>
    <row r="57" spans="1:2" x14ac:dyDescent="0.3">
      <c r="A57" s="30" t="s">
        <v>50</v>
      </c>
      <c r="B57">
        <v>3</v>
      </c>
    </row>
    <row r="58" spans="1:2" x14ac:dyDescent="0.3">
      <c r="A58" s="30" t="s">
        <v>52</v>
      </c>
      <c r="B58">
        <v>0</v>
      </c>
    </row>
    <row r="59" spans="1:2" x14ac:dyDescent="0.3">
      <c r="A59" s="30" t="s">
        <v>54</v>
      </c>
      <c r="B59">
        <v>3</v>
      </c>
    </row>
    <row r="60" spans="1:2" x14ac:dyDescent="0.3">
      <c r="A60" s="30" t="s">
        <v>56</v>
      </c>
      <c r="B60">
        <v>-4</v>
      </c>
    </row>
    <row r="61" spans="1:2" x14ac:dyDescent="0.3">
      <c r="A61" s="30" t="s">
        <v>58</v>
      </c>
      <c r="B61">
        <v>5</v>
      </c>
    </row>
    <row r="62" spans="1:2" x14ac:dyDescent="0.3">
      <c r="A62" s="30" t="s">
        <v>60</v>
      </c>
      <c r="B62">
        <v>7</v>
      </c>
    </row>
    <row r="63" spans="1:2" x14ac:dyDescent="0.3">
      <c r="A63" s="30" t="s">
        <v>62</v>
      </c>
      <c r="B63">
        <v>4</v>
      </c>
    </row>
    <row r="64" spans="1:2" x14ac:dyDescent="0.3">
      <c r="A64" s="30" t="s">
        <v>199</v>
      </c>
      <c r="B64">
        <v>-10</v>
      </c>
    </row>
    <row r="65" spans="1:12" ht="15" thickBot="1" x14ac:dyDescent="0.35">
      <c r="A65" s="30" t="s">
        <v>197</v>
      </c>
      <c r="B65">
        <v>-10</v>
      </c>
    </row>
    <row r="66" spans="1:12" x14ac:dyDescent="0.3">
      <c r="I66" s="19"/>
      <c r="J66" s="20"/>
      <c r="K66" s="20"/>
      <c r="L66" s="21"/>
    </row>
    <row r="67" spans="1:12" ht="15" thickBot="1" x14ac:dyDescent="0.35">
      <c r="I67" s="25"/>
      <c r="J67" s="48" t="s">
        <v>219</v>
      </c>
      <c r="K67" s="48"/>
      <c r="L67" s="22"/>
    </row>
    <row r="68" spans="1:12" ht="15" thickBot="1" x14ac:dyDescent="0.35">
      <c r="I68" s="25"/>
      <c r="L68" s="22"/>
    </row>
    <row r="69" spans="1:12" ht="15" thickBot="1" x14ac:dyDescent="0.35">
      <c r="I69" s="25"/>
      <c r="J69" s="40" t="s">
        <v>2</v>
      </c>
      <c r="K69" s="41" t="s">
        <v>213</v>
      </c>
      <c r="L69" s="22"/>
    </row>
    <row r="70" spans="1:12" ht="15" thickBot="1" x14ac:dyDescent="0.35">
      <c r="I70" s="25"/>
      <c r="L70" s="22"/>
    </row>
    <row r="71" spans="1:12" ht="16.8" thickBot="1" x14ac:dyDescent="0.35">
      <c r="A71" s="49" t="s">
        <v>220</v>
      </c>
      <c r="B71" s="49"/>
      <c r="C71" s="49"/>
      <c r="I71" s="25"/>
      <c r="J71" s="33" t="s">
        <v>195</v>
      </c>
      <c r="K71" s="35" t="s">
        <v>222</v>
      </c>
    </row>
    <row r="72" spans="1:12" ht="15" thickBot="1" x14ac:dyDescent="0.35">
      <c r="A72" s="29" t="s">
        <v>2</v>
      </c>
      <c r="B72" t="s">
        <v>66</v>
      </c>
      <c r="I72" s="25"/>
      <c r="J72" s="34" t="s">
        <v>12</v>
      </c>
      <c r="K72" s="52">
        <v>19</v>
      </c>
    </row>
    <row r="73" spans="1:12" x14ac:dyDescent="0.3">
      <c r="I73" s="25"/>
      <c r="J73" s="42">
        <v>46027</v>
      </c>
      <c r="K73" s="53">
        <v>4</v>
      </c>
    </row>
    <row r="74" spans="1:12" x14ac:dyDescent="0.3">
      <c r="A74" s="29" t="s">
        <v>195</v>
      </c>
      <c r="B74" t="s">
        <v>210</v>
      </c>
      <c r="I74" s="25"/>
      <c r="J74" s="42">
        <v>46029</v>
      </c>
      <c r="K74" s="53">
        <v>1</v>
      </c>
    </row>
    <row r="75" spans="1:12" x14ac:dyDescent="0.3">
      <c r="A75" s="30" t="s">
        <v>73</v>
      </c>
      <c r="B75" s="51">
        <v>-5</v>
      </c>
      <c r="I75" s="25"/>
      <c r="J75" s="42">
        <v>46030</v>
      </c>
      <c r="K75" s="53">
        <v>6</v>
      </c>
    </row>
    <row r="76" spans="1:12" ht="15" thickBot="1" x14ac:dyDescent="0.35">
      <c r="A76" s="30" t="s">
        <v>79</v>
      </c>
      <c r="B76" s="51">
        <v>-9</v>
      </c>
      <c r="I76" s="26"/>
      <c r="J76" s="42">
        <v>46032</v>
      </c>
      <c r="K76" s="53">
        <v>8</v>
      </c>
    </row>
    <row r="77" spans="1:12" ht="15" thickBot="1" x14ac:dyDescent="0.35">
      <c r="A77" s="30" t="s">
        <v>93</v>
      </c>
      <c r="B77" s="51">
        <v>-5</v>
      </c>
      <c r="J77" s="34" t="s">
        <v>17</v>
      </c>
      <c r="K77" s="53">
        <v>9</v>
      </c>
    </row>
    <row r="78" spans="1:12" x14ac:dyDescent="0.3">
      <c r="A78" s="30" t="s">
        <v>103</v>
      </c>
      <c r="B78" s="51">
        <v>-11</v>
      </c>
      <c r="J78" s="42">
        <v>46027</v>
      </c>
      <c r="K78" s="53">
        <v>4</v>
      </c>
    </row>
    <row r="79" spans="1:12" x14ac:dyDescent="0.3">
      <c r="A79" s="30" t="s">
        <v>197</v>
      </c>
      <c r="B79" s="51">
        <v>-5</v>
      </c>
      <c r="J79" s="42">
        <v>46029</v>
      </c>
      <c r="K79" s="53">
        <v>1</v>
      </c>
    </row>
    <row r="80" spans="1:12" x14ac:dyDescent="0.3">
      <c r="J80" s="42">
        <v>46030</v>
      </c>
      <c r="K80" s="53">
        <v>2</v>
      </c>
    </row>
    <row r="81" spans="10:11" ht="15" thickBot="1" x14ac:dyDescent="0.35">
      <c r="J81" s="42">
        <v>46031</v>
      </c>
      <c r="K81" s="53">
        <v>2</v>
      </c>
    </row>
    <row r="82" spans="10:11" ht="15" thickBot="1" x14ac:dyDescent="0.35">
      <c r="J82" s="34" t="s">
        <v>196</v>
      </c>
      <c r="K82" s="53"/>
    </row>
    <row r="83" spans="10:11" ht="15" thickBot="1" x14ac:dyDescent="0.35">
      <c r="J83" s="43" t="s">
        <v>196</v>
      </c>
      <c r="K83" s="53"/>
    </row>
    <row r="84" spans="10:11" ht="15" thickBot="1" x14ac:dyDescent="0.35">
      <c r="J84" s="34" t="s">
        <v>197</v>
      </c>
      <c r="K84" s="54">
        <v>28</v>
      </c>
    </row>
  </sheetData>
  <mergeCells count="5">
    <mergeCell ref="A2:D2"/>
    <mergeCell ref="A15:C15"/>
    <mergeCell ref="J67:K67"/>
    <mergeCell ref="A71:C71"/>
    <mergeCell ref="A26:D26"/>
  </mergeCells>
  <pageMargins left="0.7" right="0.7" top="0.75" bottom="0.75" header="0.3" footer="0.3"/>
  <drawing r:id="rId9"/>
  <extLst>
    <ext xmlns:x14="http://schemas.microsoft.com/office/spreadsheetml/2009/9/main" uri="{A8765BA9-456A-4dab-B4F3-ACF838C121DE}">
      <x14:slicerList>
        <x14:slicer r:id="rId10"/>
      </x14:slicerList>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BF5371-0FE0-4A62-8A5B-0E14072953F3}">
  <sheetPr codeName="Sheet10"/>
  <dimension ref="A1:E5"/>
  <sheetViews>
    <sheetView workbookViewId="0">
      <selection activeCell="E29" sqref="E29"/>
    </sheetView>
  </sheetViews>
  <sheetFormatPr defaultRowHeight="14.4" x14ac:dyDescent="0.3"/>
  <cols>
    <col min="1" max="1" width="12.5546875" customWidth="1"/>
    <col min="2" max="3" width="17.5546875" customWidth="1"/>
    <col min="4" max="4" width="15.44140625" customWidth="1"/>
    <col min="5" max="5" width="15.109375" customWidth="1"/>
    <col min="6" max="6" width="17" customWidth="1"/>
  </cols>
  <sheetData>
    <row r="1" spans="1:5" x14ac:dyDescent="0.3">
      <c r="A1" t="s">
        <v>2</v>
      </c>
      <c r="B1" t="s">
        <v>24</v>
      </c>
      <c r="C1" t="s">
        <v>192</v>
      </c>
      <c r="D1" t="s">
        <v>193</v>
      </c>
      <c r="E1" t="s">
        <v>194</v>
      </c>
    </row>
    <row r="2" spans="1:5" x14ac:dyDescent="0.3">
      <c r="A2" t="s">
        <v>11</v>
      </c>
      <c r="B2">
        <v>714942</v>
      </c>
      <c r="C2">
        <v>297</v>
      </c>
      <c r="D2">
        <v>20</v>
      </c>
      <c r="E2">
        <v>6</v>
      </c>
    </row>
    <row r="3" spans="1:5" x14ac:dyDescent="0.3">
      <c r="A3" t="s">
        <v>66</v>
      </c>
      <c r="B3">
        <v>185171</v>
      </c>
      <c r="C3">
        <v>457</v>
      </c>
      <c r="D3">
        <v>20</v>
      </c>
      <c r="E3">
        <v>6</v>
      </c>
    </row>
    <row r="4" spans="1:5" x14ac:dyDescent="0.3">
      <c r="A4" t="s">
        <v>16</v>
      </c>
      <c r="B4">
        <v>82080</v>
      </c>
      <c r="C4">
        <v>634</v>
      </c>
      <c r="D4">
        <v>20</v>
      </c>
      <c r="E4">
        <v>10</v>
      </c>
    </row>
    <row r="5" spans="1:5" x14ac:dyDescent="0.3">
      <c r="A5" t="s">
        <v>147</v>
      </c>
      <c r="B5">
        <v>1319489</v>
      </c>
      <c r="C5">
        <v>279</v>
      </c>
      <c r="D5">
        <v>20</v>
      </c>
      <c r="E5">
        <v>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Product_Master</vt:lpstr>
      <vt:lpstr>Stock_Transactions</vt:lpstr>
      <vt:lpstr>Inventory_Summary</vt:lpstr>
      <vt:lpstr>Low_Stock_Report</vt:lpstr>
      <vt:lpstr>Dashboard</vt:lpstr>
      <vt:lpstr>Inventory_Dashboard</vt:lpstr>
      <vt:lpstr>Analysis</vt:lpstr>
      <vt:lpstr>DashboardData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shreyas A</dc:creator>
  <cp:lastModifiedBy>shreyas A</cp:lastModifiedBy>
  <cp:lastPrinted>2026-01-09T23:03:56Z</cp:lastPrinted>
  <dcterms:created xsi:type="dcterms:W3CDTF">2025-12-30T05:04:05Z</dcterms:created>
  <dcterms:modified xsi:type="dcterms:W3CDTF">2026-01-10T06:26:14Z</dcterms:modified>
</cp:coreProperties>
</file>